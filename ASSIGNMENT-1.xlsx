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Q61" i="1" l="1"/>
  <c r="P61" i="1"/>
  <c r="O61" i="1"/>
  <c r="Q60" i="1"/>
  <c r="P60" i="1"/>
  <c r="O60" i="1"/>
  <c r="Q59" i="1"/>
  <c r="P59" i="1"/>
  <c r="O59" i="1"/>
  <c r="Q58" i="1"/>
  <c r="P58" i="1"/>
  <c r="O58" i="1"/>
  <c r="Q57" i="1"/>
  <c r="P57" i="1"/>
  <c r="O57" i="1"/>
  <c r="Q56" i="1"/>
  <c r="P56" i="1"/>
  <c r="O56" i="1"/>
  <c r="Q55" i="1"/>
  <c r="P55" i="1"/>
  <c r="O55" i="1"/>
  <c r="Q54" i="1"/>
  <c r="P54" i="1"/>
  <c r="O54" i="1"/>
  <c r="Q53" i="1"/>
  <c r="P53" i="1"/>
  <c r="O53" i="1"/>
  <c r="Q52" i="1"/>
  <c r="P52" i="1"/>
  <c r="O52" i="1"/>
  <c r="Q51" i="1"/>
  <c r="P51" i="1"/>
  <c r="O51" i="1"/>
  <c r="Q50" i="1"/>
  <c r="P50" i="1"/>
  <c r="O50" i="1"/>
  <c r="Q49" i="1"/>
  <c r="P49" i="1"/>
  <c r="O49" i="1"/>
  <c r="Q48" i="1"/>
  <c r="P48" i="1"/>
  <c r="O48" i="1"/>
  <c r="Q47" i="1"/>
  <c r="P47" i="1"/>
  <c r="O47" i="1"/>
  <c r="Q46" i="1"/>
  <c r="P46" i="1"/>
  <c r="O46" i="1"/>
  <c r="Q45" i="1"/>
  <c r="P45" i="1"/>
  <c r="O45" i="1"/>
  <c r="Q44" i="1"/>
  <c r="P44" i="1"/>
  <c r="O44" i="1"/>
  <c r="Q43" i="1"/>
  <c r="P43" i="1"/>
  <c r="O43" i="1"/>
  <c r="Q42" i="1"/>
  <c r="P42" i="1"/>
  <c r="O42" i="1"/>
  <c r="Q41" i="1"/>
  <c r="P41" i="1"/>
  <c r="O41" i="1"/>
  <c r="Q40" i="1"/>
  <c r="P40" i="1"/>
  <c r="O40" i="1"/>
  <c r="Q39" i="1"/>
  <c r="P39" i="1"/>
  <c r="O39" i="1"/>
  <c r="Q38" i="1"/>
  <c r="P38" i="1"/>
  <c r="O38" i="1"/>
  <c r="Q37" i="1"/>
  <c r="P37" i="1"/>
  <c r="O37" i="1"/>
  <c r="Q36" i="1"/>
  <c r="P36" i="1"/>
  <c r="O36" i="1"/>
  <c r="Q35" i="1"/>
  <c r="P35" i="1"/>
  <c r="O35" i="1"/>
  <c r="Q34" i="1"/>
  <c r="P34" i="1"/>
  <c r="O34" i="1"/>
  <c r="Q33" i="1"/>
  <c r="P33" i="1"/>
  <c r="O33" i="1"/>
  <c r="Q32" i="1"/>
  <c r="P32" i="1"/>
  <c r="O32" i="1"/>
  <c r="Q31" i="1"/>
  <c r="P31" i="1"/>
  <c r="O31" i="1"/>
  <c r="Q30" i="1"/>
  <c r="P30" i="1"/>
  <c r="O30" i="1"/>
  <c r="Q29" i="1"/>
  <c r="P29" i="1"/>
  <c r="O29" i="1"/>
  <c r="Q28" i="1"/>
  <c r="P28" i="1"/>
  <c r="O28" i="1"/>
  <c r="L61" i="1" l="1"/>
  <c r="L60" i="1"/>
  <c r="L59" i="1"/>
  <c r="L58" i="1"/>
  <c r="L57" i="1"/>
  <c r="L56" i="1"/>
  <c r="L55" i="1"/>
  <c r="L54" i="1"/>
  <c r="L53" i="1"/>
  <c r="L52" i="1"/>
  <c r="L51" i="1"/>
  <c r="L50" i="1"/>
  <c r="L48" i="1"/>
  <c r="L47" i="1"/>
  <c r="L44" i="1"/>
  <c r="L42" i="1"/>
  <c r="L41" i="1"/>
  <c r="L38" i="1"/>
  <c r="L36" i="1"/>
  <c r="L32" i="1"/>
  <c r="L30" i="1"/>
  <c r="J35" i="1"/>
  <c r="L49" i="1" s="1"/>
  <c r="D35" i="1"/>
  <c r="C35" i="1"/>
  <c r="B35" i="1"/>
  <c r="J34" i="1"/>
  <c r="D34" i="1"/>
  <c r="C34" i="1"/>
  <c r="B34" i="1"/>
  <c r="J33" i="1"/>
  <c r="D33" i="1"/>
  <c r="C33" i="1"/>
  <c r="B33" i="1"/>
  <c r="J32" i="1"/>
  <c r="L46" i="1" s="1"/>
  <c r="D32" i="1"/>
  <c r="C32" i="1"/>
  <c r="B32" i="1"/>
  <c r="J31" i="1"/>
  <c r="L45" i="1" s="1"/>
  <c r="D31" i="1"/>
  <c r="C31" i="1"/>
  <c r="B31" i="1"/>
  <c r="J30" i="1"/>
  <c r="D30" i="1"/>
  <c r="C30" i="1"/>
  <c r="B30" i="1"/>
  <c r="J29" i="1"/>
  <c r="L43" i="1" s="1"/>
  <c r="D29" i="1"/>
  <c r="C29" i="1"/>
  <c r="B29" i="1"/>
  <c r="J28" i="1"/>
  <c r="D28" i="1"/>
  <c r="C28" i="1"/>
  <c r="B28" i="1"/>
  <c r="J27" i="1"/>
  <c r="D27" i="1"/>
  <c r="C27" i="1"/>
  <c r="B27" i="1"/>
  <c r="J26" i="1"/>
  <c r="L40" i="1" s="1"/>
  <c r="D26" i="1"/>
  <c r="C26" i="1"/>
  <c r="B26" i="1"/>
  <c r="J25" i="1"/>
  <c r="L39" i="1" s="1"/>
  <c r="D25" i="1"/>
  <c r="C25" i="1"/>
  <c r="B25" i="1"/>
  <c r="J24" i="1"/>
  <c r="D24" i="1"/>
  <c r="C24" i="1"/>
  <c r="B24" i="1"/>
  <c r="J23" i="1"/>
  <c r="L37" i="1" s="1"/>
  <c r="D23" i="1"/>
  <c r="C23" i="1"/>
  <c r="B23" i="1"/>
  <c r="J22" i="1"/>
  <c r="D22" i="1"/>
  <c r="C22" i="1"/>
  <c r="B22" i="1"/>
  <c r="J21" i="1"/>
  <c r="L35" i="1" s="1"/>
  <c r="D21" i="1"/>
  <c r="C21" i="1"/>
  <c r="B21" i="1"/>
  <c r="J20" i="1"/>
  <c r="L34" i="1" s="1"/>
  <c r="D20" i="1"/>
  <c r="C20" i="1"/>
  <c r="B20" i="1"/>
  <c r="J19" i="1"/>
  <c r="L33" i="1" s="1"/>
  <c r="D19" i="1"/>
  <c r="C19" i="1"/>
  <c r="B19" i="1"/>
  <c r="J18" i="1"/>
  <c r="D18" i="1"/>
  <c r="C18" i="1"/>
  <c r="B18" i="1"/>
  <c r="T17" i="1"/>
  <c r="J17" i="1"/>
  <c r="L31" i="1" s="1"/>
  <c r="D17" i="1"/>
  <c r="C17" i="1"/>
  <c r="B17" i="1"/>
  <c r="J16" i="1"/>
  <c r="D16" i="1"/>
  <c r="C16" i="1"/>
  <c r="B16" i="1"/>
  <c r="T15" i="1"/>
  <c r="J15" i="1"/>
  <c r="L29" i="1" s="1"/>
  <c r="D15" i="1"/>
  <c r="C15" i="1"/>
  <c r="B15" i="1"/>
  <c r="J14" i="1"/>
  <c r="L28" i="1" s="1"/>
  <c r="D14" i="1"/>
  <c r="C14" i="1"/>
  <c r="B14" i="1"/>
  <c r="J13" i="1"/>
  <c r="D13" i="1"/>
  <c r="C13" i="1"/>
  <c r="B13" i="1"/>
  <c r="J12" i="1"/>
  <c r="D12" i="1"/>
  <c r="C12" i="1"/>
  <c r="B12" i="1"/>
  <c r="Q11" i="1"/>
  <c r="J11" i="1"/>
  <c r="D11" i="1"/>
  <c r="C11" i="1"/>
  <c r="B11" i="1"/>
  <c r="J10" i="1"/>
  <c r="D10" i="1"/>
  <c r="C10" i="1"/>
  <c r="B10" i="1"/>
  <c r="Q9" i="1"/>
  <c r="J9" i="1"/>
  <c r="D9" i="1"/>
  <c r="C9" i="1"/>
  <c r="B9" i="1"/>
  <c r="J8" i="1"/>
  <c r="D8" i="1"/>
  <c r="C8" i="1"/>
  <c r="B8" i="1"/>
  <c r="Q7" i="1"/>
  <c r="J7" i="1"/>
  <c r="D7" i="1"/>
  <c r="C7" i="1"/>
  <c r="B7" i="1"/>
  <c r="J6" i="1"/>
  <c r="D6" i="1"/>
  <c r="C6" i="1"/>
  <c r="B6" i="1"/>
  <c r="Q5" i="1"/>
  <c r="J5" i="1"/>
  <c r="D5" i="1"/>
  <c r="C5" i="1"/>
  <c r="B5" i="1"/>
  <c r="J4" i="1"/>
  <c r="D4" i="1"/>
  <c r="C4" i="1"/>
  <c r="B4" i="1"/>
  <c r="Q3" i="1"/>
  <c r="J3" i="1"/>
  <c r="D3" i="1"/>
  <c r="C3" i="1"/>
  <c r="B3" i="1"/>
  <c r="J2" i="1"/>
  <c r="D2" i="1"/>
  <c r="C2" i="1"/>
  <c r="B2" i="1"/>
</calcChain>
</file>

<file path=xl/sharedStrings.xml><?xml version="1.0" encoding="utf-8"?>
<sst xmlns="http://schemas.openxmlformats.org/spreadsheetml/2006/main" count="201" uniqueCount="112">
  <si>
    <t>Product ID</t>
  </si>
  <si>
    <t>Day</t>
  </si>
  <si>
    <t>Country Code</t>
  </si>
  <si>
    <t>Month</t>
  </si>
  <si>
    <t>Product Name</t>
  </si>
  <si>
    <t>Brand Name</t>
  </si>
  <si>
    <t>Price ($)</t>
  </si>
  <si>
    <t>Quantity</t>
  </si>
  <si>
    <t>Category</t>
  </si>
  <si>
    <t>Price Range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</si>
  <si>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</si>
  <si>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</si>
  <si>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</si>
  <si>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</si>
  <si>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</si>
  <si>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</si>
  <si>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</si>
  <si>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</si>
  <si>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• What is the total price of all products in the dataset?</t>
  </si>
  <si>
    <t>03-MAR-US</t>
  </si>
  <si>
    <t>Coffee Maker</t>
  </si>
  <si>
    <t>Keurig</t>
  </si>
  <si>
    <t>Kitchen</t>
  </si>
  <si>
    <t>11-APR-US</t>
  </si>
  <si>
    <t>Smartphone</t>
  </si>
  <si>
    <t>Samsung</t>
  </si>
  <si>
    <t>• How many products are there in the dataset?</t>
  </si>
  <si>
    <t>22-MAY-US</t>
  </si>
  <si>
    <t>Backpack</t>
  </si>
  <si>
    <t>North Face</t>
  </si>
  <si>
    <t>Outdoor</t>
  </si>
  <si>
    <t>07-JUN-UK</t>
  </si>
  <si>
    <t>Headphones</t>
  </si>
  <si>
    <t>Sony</t>
  </si>
  <si>
    <t>• Calculate the average price of the products.</t>
  </si>
  <si>
    <t>19-JUL-UK</t>
  </si>
  <si>
    <t>T-shirt</t>
  </si>
  <si>
    <t>Adidas</t>
  </si>
  <si>
    <t>23-AUG-UK</t>
  </si>
  <si>
    <t>Blender</t>
  </si>
  <si>
    <t>Ninja</t>
  </si>
  <si>
    <t>• Find the maximum price among all products.</t>
  </si>
  <si>
    <t>05-SEP-UK</t>
  </si>
  <si>
    <t>Tablet</t>
  </si>
  <si>
    <t>Apple</t>
  </si>
  <si>
    <t>14-OCT-UK</t>
  </si>
  <si>
    <t>Hiking Boots</t>
  </si>
  <si>
    <t>Timberland</t>
  </si>
  <si>
    <t>• Determine the minimum price among all products.</t>
  </si>
  <si>
    <t>17-JUN-IN</t>
  </si>
  <si>
    <t>HP</t>
  </si>
  <si>
    <t>25-NOV-AU</t>
  </si>
  <si>
    <t>• Using an IF function, create a new column named Price Range to categorize products with a price greater than or equal to $500 as 'High Price' and others as 'Standard Price'.</t>
  </si>
  <si>
    <t>08-DEC-DE</t>
  </si>
  <si>
    <t>Nespresso</t>
  </si>
  <si>
    <t>18-FEB-CA</t>
  </si>
  <si>
    <t>Smartwatch</t>
  </si>
  <si>
    <t>Fitbit</t>
  </si>
  <si>
    <t>• Calculate the total price for products in the 'Electronics' category using the SUMIF function.</t>
  </si>
  <si>
    <t>16-APR-ES</t>
  </si>
  <si>
    <t>Bose</t>
  </si>
  <si>
    <t>21-AUG-CA</t>
  </si>
  <si>
    <t>Laptop Bag</t>
  </si>
  <si>
    <t>Samsonite</t>
  </si>
  <si>
    <t>Accessories</t>
  </si>
  <si>
    <t>• Determine the count of products with a price less than $100 using the COUNTIF function.</t>
  </si>
  <si>
    <t>20-AUG-CN</t>
  </si>
  <si>
    <t>Huawei</t>
  </si>
  <si>
    <t>27-JAN-IT</t>
  </si>
  <si>
    <t>Asus</t>
  </si>
  <si>
    <t>• Create a new column named Day with the first 2 characters of each 'Product ID' using the LEFT function.</t>
  </si>
  <si>
    <t>01-MAR-UK</t>
  </si>
  <si>
    <t>Sunglasses</t>
  </si>
  <si>
    <t>Oakley</t>
  </si>
  <si>
    <t>14-AUG-US</t>
  </si>
  <si>
    <t>Camping Tent</t>
  </si>
  <si>
    <t>Coleman</t>
  </si>
  <si>
    <t>• Create a new column named Country Code by extracting the last 2 characters from the 'Product ID' column using the RIGHT function.</t>
  </si>
  <si>
    <t>14-MAY-RU</t>
  </si>
  <si>
    <t>Camera</t>
  </si>
  <si>
    <t>Nikon</t>
  </si>
  <si>
    <t>09-JAN-CA</t>
  </si>
  <si>
    <t>Microwave</t>
  </si>
  <si>
    <t>Panasonic</t>
  </si>
  <si>
    <t>• Create a new column named Month by extracting 4th to 6th characters from the 'Product ID' column using the MID function.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</si>
  <si>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</si>
  <si>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</si>
  <si>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</si>
  <si>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</si>
  <si>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</si>
  <si>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</si>
  <si>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</si>
  <si>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</si>
  <si>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</si>
  <si>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</si>
  <si>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</si>
  <si>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</si>
  <si>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</si>
  <si>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</si>
  <si>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</si>
  <si>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</si>
  <si>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</si>
  <si>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</si>
  <si>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</si>
  <si>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</si>
  <si>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</si>
  <si>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</si>
  <si>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</si>
  <si>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 xml:space="preserve">      IF Function</t>
  </si>
  <si>
    <t>LEFT Function</t>
  </si>
  <si>
    <t>RIGHT Function</t>
  </si>
  <si>
    <t>MID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</si>
</sst>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Arial Black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3">
    <xf numFmtId="0" fontId="0" fillId="0" borderId="0" xfId="0"/>
    <xf numFmtId="0" fontId="3" fillId="0" borderId="0" xfId="0" applyFont="1" applyAlignment="1">
      <alignment horizontal="center"/>
    </xf>
    <xf numFmtId="0" fontId="0" fillId="0" borderId="0" xfId="0" applyFont="1" applyAlignment="1"/>
    <xf numFmtId="0" fontId="4" fillId="0" borderId="1" xfId="0" applyFont="1" applyBorder="1"/>
    <xf numFmtId="0" fontId="4" fillId="4" borderId="1" xfId="0" applyFont="1" applyFill="1" applyBorder="1"/>
    <xf numFmtId="0" fontId="5" fillId="0" borderId="0" xfId="0" applyFont="1"/>
    <xf numFmtId="0" fontId="6" fillId="0" borderId="0" xfId="0" applyFont="1"/>
    <xf numFmtId="0" fontId="3" fillId="3" borderId="1" xfId="0" applyFont="1" applyFill="1" applyBorder="1" applyAlignment="1">
      <alignment horizontal="center"/>
    </xf>
    <xf numFmtId="0" fontId="2" fillId="0" borderId="0" xfId="0" applyFont="1" applyAlignment="1"/>
    <xf numFmtId="0" fontId="1" fillId="2" borderId="0" xfId="1"/>
    <xf numFmtId="0" fontId="1" fillId="2" borderId="0" xfId="1" applyAlignment="1"/>
    <xf numFmtId="0" fontId="7" fillId="0" borderId="0" xfId="0" applyFont="1" applyAlignment="1"/>
    <xf numFmtId="0" fontId="7" fillId="0" borderId="0" xfId="0" applyFon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3"/>
  <sheetViews>
    <sheetView tabSelected="1" topLeftCell="J1" workbookViewId="0">
      <selection activeCell="L2" sqref="L2"/>
    </sheetView>
  </sheetViews>
  <sheetFormatPr defaultRowHeight="15" x14ac:dyDescent="0.25"/>
  <cols>
    <col min="1" max="1" width="11.85546875" customWidth="1"/>
    <col min="3" max="3" width="16.85546875" customWidth="1"/>
    <col min="4" max="4" width="11.7109375" customWidth="1"/>
    <col min="5" max="5" width="14.42578125" customWidth="1"/>
    <col min="6" max="6" width="13.5703125" customWidth="1"/>
    <col min="7" max="7" width="12.28515625" customWidth="1"/>
    <col min="8" max="8" width="11.85546875" customWidth="1"/>
    <col min="9" max="9" width="12.28515625" customWidth="1"/>
    <col min="10" max="10" width="15.5703125" customWidth="1"/>
    <col min="11" max="11" width="21.140625" customWidth="1"/>
    <col min="12" max="12" width="27.7109375" customWidth="1"/>
    <col min="13" max="14" width="21.85546875" customWidth="1"/>
    <col min="15" max="15" width="20" customWidth="1"/>
    <col min="16" max="16" width="20.42578125" customWidth="1"/>
    <col min="17" max="17" width="19.28515625" customWidth="1"/>
    <col min="19" max="19" width="15.7109375" customWidth="1"/>
    <col min="22" max="22" width="18.5703125" customWidth="1"/>
  </cols>
  <sheetData>
    <row r="1" spans="1:22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x14ac:dyDescent="0.25">
      <c r="A2" s="3" t="s">
        <v>10</v>
      </c>
      <c r="B2" s="3" t="str">
        <f>LEFT(A2,2)</f>
        <v>28</v>
      </c>
      <c r="C2" s="3" t="str">
        <f>RIGHT(A2,2)</f>
        <v>US</v>
      </c>
      <c r="D2" s="4" t="str">
        <f>MID(A2,4,3)</f>
        <v>JAN</v>
      </c>
      <c r="E2" s="3" t="s">
        <v>11</v>
      </c>
      <c r="F2" s="3" t="s">
        <v>12</v>
      </c>
      <c r="G2" s="3">
        <v>1000</v>
      </c>
      <c r="H2" s="3">
        <v>30</v>
      </c>
      <c r="I2" s="3" t="s">
        <v>13</v>
      </c>
      <c r="J2" s="3" t="str">
        <f>IF(G2&gt;500,"High Price","Standard Price")</f>
        <v>High Price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15.75" x14ac:dyDescent="0.25">
      <c r="A3" s="4" t="s">
        <v>14</v>
      </c>
      <c r="B3" s="3" t="str">
        <f t="shared" ref="B3:B35" si="0">LEFT(A3,2)</f>
        <v>15</v>
      </c>
      <c r="C3" s="3" t="str">
        <f t="shared" ref="C3:C35" si="1">RIGHT(A3,2)</f>
        <v>US</v>
      </c>
      <c r="D3" s="4" t="str">
        <f t="shared" ref="D3:D35" si="2">MID(A3,4,3)</f>
        <v>FEB</v>
      </c>
      <c r="E3" s="4" t="s">
        <v>15</v>
      </c>
      <c r="F3" s="4" t="s">
        <v>16</v>
      </c>
      <c r="G3" s="4">
        <v>80</v>
      </c>
      <c r="H3" s="4">
        <v>15</v>
      </c>
      <c r="I3" s="4" t="s">
        <v>17</v>
      </c>
      <c r="J3" s="4" t="str">
        <f t="shared" ref="J3:J33" si="3">IF(G3&gt;500,"High Price","Standard Price")</f>
        <v>Standard Price</v>
      </c>
      <c r="L3" s="5" t="s">
        <v>18</v>
      </c>
      <c r="M3" s="2"/>
      <c r="N3" s="2"/>
      <c r="O3" s="2"/>
      <c r="P3" s="2"/>
      <c r="Q3" s="10">
        <f>SUM(G1:G35)</f>
        <v>10100</v>
      </c>
      <c r="R3" s="2"/>
      <c r="S3" s="2"/>
      <c r="T3" s="2"/>
      <c r="U3" s="2"/>
      <c r="V3" s="2"/>
    </row>
    <row r="4" spans="1:22" x14ac:dyDescent="0.25">
      <c r="A4" s="3" t="s">
        <v>19</v>
      </c>
      <c r="B4" s="3" t="str">
        <f t="shared" si="0"/>
        <v>03</v>
      </c>
      <c r="C4" s="3" t="str">
        <f t="shared" si="1"/>
        <v>US</v>
      </c>
      <c r="D4" s="4" t="str">
        <f t="shared" si="2"/>
        <v>MAR</v>
      </c>
      <c r="E4" s="3" t="s">
        <v>20</v>
      </c>
      <c r="F4" s="3" t="s">
        <v>21</v>
      </c>
      <c r="G4" s="3">
        <v>130</v>
      </c>
      <c r="H4" s="3">
        <v>40</v>
      </c>
      <c r="I4" s="3" t="s">
        <v>22</v>
      </c>
      <c r="J4" s="3" t="str">
        <f>IF(G4&gt;500,"High Price","Standard Price")</f>
        <v>Standard Price</v>
      </c>
      <c r="L4" s="2"/>
      <c r="M4" s="2"/>
      <c r="N4" s="2"/>
      <c r="O4" s="2"/>
      <c r="P4" s="2"/>
      <c r="Q4" s="8"/>
      <c r="R4" s="2"/>
      <c r="S4" s="2"/>
      <c r="T4" s="2"/>
      <c r="U4" s="2"/>
      <c r="V4" s="2"/>
    </row>
    <row r="5" spans="1:22" ht="15.75" x14ac:dyDescent="0.25">
      <c r="A5" s="4" t="s">
        <v>23</v>
      </c>
      <c r="B5" s="3" t="str">
        <f t="shared" si="0"/>
        <v>11</v>
      </c>
      <c r="C5" s="3" t="str">
        <f t="shared" si="1"/>
        <v>US</v>
      </c>
      <c r="D5" s="4" t="str">
        <f t="shared" si="2"/>
        <v>APR</v>
      </c>
      <c r="E5" s="4" t="s">
        <v>24</v>
      </c>
      <c r="F5" s="4" t="s">
        <v>25</v>
      </c>
      <c r="G5" s="4">
        <v>900</v>
      </c>
      <c r="H5" s="4">
        <v>25</v>
      </c>
      <c r="I5" s="4" t="s">
        <v>13</v>
      </c>
      <c r="J5" s="4" t="str">
        <f t="shared" si="3"/>
        <v>High Price</v>
      </c>
      <c r="L5" s="5" t="s">
        <v>26</v>
      </c>
      <c r="M5" s="2"/>
      <c r="N5" s="2"/>
      <c r="O5" s="2"/>
      <c r="P5" s="2"/>
      <c r="Q5" s="10">
        <f>COUNTA(E2:E37)</f>
        <v>34</v>
      </c>
      <c r="R5" s="2"/>
      <c r="S5" s="2"/>
      <c r="T5" s="2"/>
      <c r="U5" s="2"/>
      <c r="V5" s="2"/>
    </row>
    <row r="6" spans="1:22" ht="15.75" x14ac:dyDescent="0.25">
      <c r="A6" s="3" t="s">
        <v>27</v>
      </c>
      <c r="B6" s="3" t="str">
        <f t="shared" si="0"/>
        <v>22</v>
      </c>
      <c r="C6" s="3" t="str">
        <f t="shared" si="1"/>
        <v>US</v>
      </c>
      <c r="D6" s="4" t="str">
        <f t="shared" si="2"/>
        <v>MAY</v>
      </c>
      <c r="E6" s="3" t="s">
        <v>28</v>
      </c>
      <c r="F6" s="3" t="s">
        <v>29</v>
      </c>
      <c r="G6" s="3">
        <v>70</v>
      </c>
      <c r="H6" s="3">
        <v>20</v>
      </c>
      <c r="I6" s="3" t="s">
        <v>30</v>
      </c>
      <c r="J6" s="3" t="str">
        <f t="shared" si="3"/>
        <v>Standard Price</v>
      </c>
      <c r="L6" s="6"/>
      <c r="M6" s="2"/>
      <c r="N6" s="2"/>
      <c r="O6" s="2"/>
      <c r="P6" s="2"/>
      <c r="Q6" s="8"/>
      <c r="R6" s="2"/>
      <c r="S6" s="2"/>
      <c r="T6" s="2"/>
      <c r="U6" s="2"/>
      <c r="V6" s="2"/>
    </row>
    <row r="7" spans="1:22" ht="15.75" x14ac:dyDescent="0.25">
      <c r="A7" s="4" t="s">
        <v>31</v>
      </c>
      <c r="B7" s="3" t="str">
        <f t="shared" si="0"/>
        <v>07</v>
      </c>
      <c r="C7" s="3" t="str">
        <f t="shared" si="1"/>
        <v>UK</v>
      </c>
      <c r="D7" s="4" t="str">
        <f t="shared" si="2"/>
        <v>JUN</v>
      </c>
      <c r="E7" s="4" t="s">
        <v>32</v>
      </c>
      <c r="F7" s="4" t="s">
        <v>33</v>
      </c>
      <c r="G7" s="4">
        <v>200</v>
      </c>
      <c r="H7" s="4">
        <v>45</v>
      </c>
      <c r="I7" s="4" t="s">
        <v>13</v>
      </c>
      <c r="J7" s="4" t="str">
        <f t="shared" si="3"/>
        <v>Standard Price</v>
      </c>
      <c r="L7" s="5" t="s">
        <v>34</v>
      </c>
      <c r="M7" s="2"/>
      <c r="N7" s="2"/>
      <c r="O7" s="2"/>
      <c r="P7" s="2"/>
      <c r="Q7" s="10">
        <f>AVERAGE(G2:G35)</f>
        <v>297.05882352941177</v>
      </c>
      <c r="R7" s="2"/>
      <c r="S7" s="2"/>
      <c r="T7" s="2"/>
      <c r="U7" s="2"/>
      <c r="V7" s="2"/>
    </row>
    <row r="8" spans="1:22" x14ac:dyDescent="0.25">
      <c r="A8" s="3" t="s">
        <v>35</v>
      </c>
      <c r="B8" s="3" t="str">
        <f t="shared" si="0"/>
        <v>19</v>
      </c>
      <c r="C8" s="3" t="str">
        <f t="shared" si="1"/>
        <v>UK</v>
      </c>
      <c r="D8" s="4" t="str">
        <f t="shared" si="2"/>
        <v>JUL</v>
      </c>
      <c r="E8" s="3" t="s">
        <v>36</v>
      </c>
      <c r="F8" s="3" t="s">
        <v>37</v>
      </c>
      <c r="G8" s="3">
        <v>30</v>
      </c>
      <c r="H8" s="3">
        <v>5</v>
      </c>
      <c r="I8" s="3" t="s">
        <v>17</v>
      </c>
      <c r="J8" s="3" t="str">
        <f t="shared" si="3"/>
        <v>Standard Price</v>
      </c>
      <c r="L8" s="2"/>
      <c r="M8" s="2"/>
      <c r="N8" s="2"/>
      <c r="O8" s="2"/>
      <c r="P8" s="2"/>
      <c r="Q8" s="8"/>
      <c r="R8" s="2"/>
      <c r="S8" s="2"/>
      <c r="T8" s="2"/>
      <c r="U8" s="2"/>
      <c r="V8" s="2"/>
    </row>
    <row r="9" spans="1:22" ht="15.75" x14ac:dyDescent="0.25">
      <c r="A9" s="4" t="s">
        <v>38</v>
      </c>
      <c r="B9" s="3" t="str">
        <f t="shared" si="0"/>
        <v>23</v>
      </c>
      <c r="C9" s="3" t="str">
        <f t="shared" si="1"/>
        <v>UK</v>
      </c>
      <c r="D9" s="4" t="str">
        <f t="shared" si="2"/>
        <v>AUG</v>
      </c>
      <c r="E9" s="4" t="s">
        <v>39</v>
      </c>
      <c r="F9" s="4" t="s">
        <v>40</v>
      </c>
      <c r="G9" s="4">
        <v>90</v>
      </c>
      <c r="H9" s="4">
        <v>35</v>
      </c>
      <c r="I9" s="4" t="s">
        <v>22</v>
      </c>
      <c r="J9" s="4" t="str">
        <f t="shared" si="3"/>
        <v>Standard Price</v>
      </c>
      <c r="L9" s="5" t="s">
        <v>41</v>
      </c>
      <c r="M9" s="2"/>
      <c r="N9" s="2"/>
      <c r="O9" s="2"/>
      <c r="P9" s="2"/>
      <c r="Q9" s="10">
        <f>MAX(G1:G38)</f>
        <v>1000</v>
      </c>
      <c r="R9" s="2"/>
      <c r="S9" s="2"/>
      <c r="T9" s="2"/>
      <c r="U9" s="2"/>
      <c r="V9" s="2"/>
    </row>
    <row r="10" spans="1:22" x14ac:dyDescent="0.25">
      <c r="A10" s="3" t="s">
        <v>42</v>
      </c>
      <c r="B10" s="3" t="str">
        <f t="shared" si="0"/>
        <v>05</v>
      </c>
      <c r="C10" s="3" t="str">
        <f t="shared" si="1"/>
        <v>UK</v>
      </c>
      <c r="D10" s="4" t="str">
        <f t="shared" si="2"/>
        <v>SEP</v>
      </c>
      <c r="E10" s="3" t="s">
        <v>43</v>
      </c>
      <c r="F10" s="3" t="s">
        <v>44</v>
      </c>
      <c r="G10" s="3">
        <v>500</v>
      </c>
      <c r="H10" s="3">
        <v>50</v>
      </c>
      <c r="I10" s="3" t="s">
        <v>13</v>
      </c>
      <c r="J10" s="3" t="str">
        <f t="shared" si="3"/>
        <v>Standard Price</v>
      </c>
      <c r="L10" s="2"/>
      <c r="M10" s="2"/>
      <c r="N10" s="2"/>
      <c r="O10" s="2"/>
      <c r="P10" s="2"/>
      <c r="Q10" s="8"/>
      <c r="R10" s="2"/>
      <c r="S10" s="2"/>
      <c r="T10" s="2"/>
      <c r="U10" s="2"/>
      <c r="V10" s="2"/>
    </row>
    <row r="11" spans="1:22" ht="15.75" x14ac:dyDescent="0.25">
      <c r="A11" s="4" t="s">
        <v>45</v>
      </c>
      <c r="B11" s="3" t="str">
        <f t="shared" si="0"/>
        <v>14</v>
      </c>
      <c r="C11" s="3" t="str">
        <f t="shared" si="1"/>
        <v>UK</v>
      </c>
      <c r="D11" s="4" t="str">
        <f t="shared" si="2"/>
        <v>OCT</v>
      </c>
      <c r="E11" s="4" t="s">
        <v>46</v>
      </c>
      <c r="F11" s="4" t="s">
        <v>47</v>
      </c>
      <c r="G11" s="4">
        <v>130</v>
      </c>
      <c r="H11" s="4">
        <v>10</v>
      </c>
      <c r="I11" s="4" t="s">
        <v>30</v>
      </c>
      <c r="J11" s="4" t="str">
        <f t="shared" si="3"/>
        <v>Standard Price</v>
      </c>
      <c r="L11" s="5" t="s">
        <v>48</v>
      </c>
      <c r="M11" s="2"/>
      <c r="N11" s="2"/>
      <c r="O11" s="2"/>
      <c r="P11" s="2"/>
      <c r="Q11" s="9">
        <f>MIN(G1:G35)</f>
        <v>30</v>
      </c>
      <c r="R11" s="2"/>
      <c r="S11" s="2"/>
      <c r="T11" s="2"/>
      <c r="U11" s="2"/>
      <c r="V11" s="2"/>
    </row>
    <row r="12" spans="1:22" x14ac:dyDescent="0.25">
      <c r="A12" s="3" t="s">
        <v>49</v>
      </c>
      <c r="B12" s="3" t="str">
        <f t="shared" si="0"/>
        <v>17</v>
      </c>
      <c r="C12" s="3" t="str">
        <f t="shared" si="1"/>
        <v>IN</v>
      </c>
      <c r="D12" s="4" t="str">
        <f t="shared" si="2"/>
        <v>JUN</v>
      </c>
      <c r="E12" s="3" t="s">
        <v>11</v>
      </c>
      <c r="F12" s="3" t="s">
        <v>50</v>
      </c>
      <c r="G12" s="3">
        <v>950</v>
      </c>
      <c r="H12" s="3">
        <v>25</v>
      </c>
      <c r="I12" s="3" t="s">
        <v>13</v>
      </c>
      <c r="J12" s="3" t="str">
        <f t="shared" si="3"/>
        <v>High Price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 ht="15.75" x14ac:dyDescent="0.25">
      <c r="A13" s="4" t="s">
        <v>51</v>
      </c>
      <c r="B13" s="3" t="str">
        <f t="shared" si="0"/>
        <v>25</v>
      </c>
      <c r="C13" s="3" t="str">
        <f t="shared" si="1"/>
        <v>AU</v>
      </c>
      <c r="D13" s="4" t="str">
        <f t="shared" si="2"/>
        <v>NOV</v>
      </c>
      <c r="E13" s="4" t="s">
        <v>15</v>
      </c>
      <c r="F13" s="4" t="s">
        <v>37</v>
      </c>
      <c r="G13" s="4">
        <v>90</v>
      </c>
      <c r="H13" s="4">
        <v>40</v>
      </c>
      <c r="I13" s="4" t="s">
        <v>17</v>
      </c>
      <c r="J13" s="4" t="str">
        <f t="shared" si="3"/>
        <v>Standard Price</v>
      </c>
      <c r="L13" s="2" t="s">
        <v>52</v>
      </c>
      <c r="M13" s="2"/>
      <c r="N13" s="2"/>
      <c r="O13" s="2"/>
      <c r="P13" s="2"/>
      <c r="Q13" s="2"/>
      <c r="R13" s="2"/>
      <c r="S13" s="2"/>
      <c r="T13" s="2"/>
      <c r="U13" s="5"/>
      <c r="V13" s="2"/>
    </row>
    <row r="14" spans="1:22" x14ac:dyDescent="0.25">
      <c r="A14" s="3" t="s">
        <v>53</v>
      </c>
      <c r="B14" s="3" t="str">
        <f t="shared" si="0"/>
        <v>08</v>
      </c>
      <c r="C14" s="3" t="str">
        <f t="shared" si="1"/>
        <v>DE</v>
      </c>
      <c r="D14" s="4" t="str">
        <f t="shared" si="2"/>
        <v>DEC</v>
      </c>
      <c r="E14" s="3" t="s">
        <v>20</v>
      </c>
      <c r="F14" s="3" t="s">
        <v>54</v>
      </c>
      <c r="G14" s="3">
        <v>120</v>
      </c>
      <c r="H14" s="3">
        <v>35</v>
      </c>
      <c r="I14" s="3" t="s">
        <v>22</v>
      </c>
      <c r="J14" s="3" t="str">
        <f t="shared" si="3"/>
        <v>Standard Price</v>
      </c>
      <c r="L14" s="2"/>
      <c r="M14" s="2"/>
      <c r="N14" s="2"/>
      <c r="O14" s="2"/>
      <c r="P14" s="2"/>
      <c r="R14" s="2"/>
      <c r="S14" s="2"/>
      <c r="T14" s="2"/>
      <c r="U14" s="2"/>
      <c r="V14" s="2"/>
    </row>
    <row r="15" spans="1:22" ht="15.75" x14ac:dyDescent="0.25">
      <c r="A15" s="4" t="s">
        <v>55</v>
      </c>
      <c r="B15" s="3" t="str">
        <f t="shared" si="0"/>
        <v>18</v>
      </c>
      <c r="C15" s="3" t="str">
        <f t="shared" si="1"/>
        <v>CA</v>
      </c>
      <c r="D15" s="4" t="str">
        <f t="shared" si="2"/>
        <v>FEB</v>
      </c>
      <c r="E15" s="4" t="s">
        <v>56</v>
      </c>
      <c r="F15" s="4" t="s">
        <v>57</v>
      </c>
      <c r="G15" s="4">
        <v>150</v>
      </c>
      <c r="H15" s="4">
        <v>15</v>
      </c>
      <c r="I15" s="4" t="s">
        <v>13</v>
      </c>
      <c r="J15" s="4" t="str">
        <f t="shared" si="3"/>
        <v>Standard Price</v>
      </c>
      <c r="L15" s="5" t="s">
        <v>58</v>
      </c>
      <c r="M15" s="2"/>
      <c r="N15" s="2"/>
      <c r="O15" s="2"/>
      <c r="P15" s="2"/>
      <c r="R15" s="2"/>
      <c r="S15" s="2"/>
      <c r="T15" s="10">
        <f>SUMIF(I2:I35,"Electronics",G2:G35)</f>
        <v>8050</v>
      </c>
      <c r="U15" s="2"/>
      <c r="V15" s="2"/>
    </row>
    <row r="16" spans="1:22" x14ac:dyDescent="0.25">
      <c r="A16" s="3" t="s">
        <v>59</v>
      </c>
      <c r="B16" s="3" t="str">
        <f t="shared" si="0"/>
        <v>16</v>
      </c>
      <c r="C16" s="3" t="str">
        <f t="shared" si="1"/>
        <v>ES</v>
      </c>
      <c r="D16" s="4" t="str">
        <f t="shared" si="2"/>
        <v>APR</v>
      </c>
      <c r="E16" s="3" t="s">
        <v>32</v>
      </c>
      <c r="F16" s="3" t="s">
        <v>60</v>
      </c>
      <c r="G16" s="3">
        <v>250</v>
      </c>
      <c r="H16" s="3">
        <v>20</v>
      </c>
      <c r="I16" s="3" t="s">
        <v>13</v>
      </c>
      <c r="J16" s="3" t="str">
        <f t="shared" si="3"/>
        <v>Standard Price</v>
      </c>
      <c r="L16" s="2"/>
      <c r="M16" s="2"/>
      <c r="N16" s="2"/>
      <c r="O16" s="2"/>
      <c r="P16" s="2"/>
      <c r="R16" s="2"/>
      <c r="S16" s="2"/>
      <c r="T16" s="8"/>
      <c r="U16" s="2"/>
      <c r="V16" s="2"/>
    </row>
    <row r="17" spans="1:22" ht="15.75" x14ac:dyDescent="0.25">
      <c r="A17" s="4" t="s">
        <v>61</v>
      </c>
      <c r="B17" s="3" t="str">
        <f t="shared" si="0"/>
        <v>21</v>
      </c>
      <c r="C17" s="3" t="str">
        <f t="shared" si="1"/>
        <v>CA</v>
      </c>
      <c r="D17" s="4" t="str">
        <f t="shared" si="2"/>
        <v>AUG</v>
      </c>
      <c r="E17" s="4" t="s">
        <v>62</v>
      </c>
      <c r="F17" s="4" t="s">
        <v>63</v>
      </c>
      <c r="G17" s="4">
        <v>50</v>
      </c>
      <c r="H17" s="4">
        <v>35</v>
      </c>
      <c r="I17" s="4" t="s">
        <v>64</v>
      </c>
      <c r="J17" s="4" t="str">
        <f t="shared" si="3"/>
        <v>Standard Price</v>
      </c>
      <c r="L17" s="5" t="s">
        <v>65</v>
      </c>
      <c r="M17" s="2"/>
      <c r="N17" s="2"/>
      <c r="O17" s="2"/>
      <c r="P17" s="2"/>
      <c r="R17" s="2"/>
      <c r="S17" s="2"/>
      <c r="T17" s="10">
        <f>COUNTIF(G2:G35,"&lt;100")</f>
        <v>11</v>
      </c>
      <c r="U17" s="2"/>
      <c r="V17" s="2"/>
    </row>
    <row r="18" spans="1:22" x14ac:dyDescent="0.25">
      <c r="A18" s="3" t="s">
        <v>66</v>
      </c>
      <c r="B18" s="3" t="str">
        <f t="shared" si="0"/>
        <v>20</v>
      </c>
      <c r="C18" s="3" t="str">
        <f t="shared" si="1"/>
        <v>CN</v>
      </c>
      <c r="D18" s="4" t="str">
        <f t="shared" si="2"/>
        <v>AUG</v>
      </c>
      <c r="E18" s="3" t="s">
        <v>56</v>
      </c>
      <c r="F18" s="3" t="s">
        <v>67</v>
      </c>
      <c r="G18" s="3">
        <v>160</v>
      </c>
      <c r="H18" s="3">
        <v>15</v>
      </c>
      <c r="I18" s="3" t="s">
        <v>13</v>
      </c>
      <c r="J18" s="3" t="str">
        <f t="shared" si="3"/>
        <v>Standard Price</v>
      </c>
      <c r="L18" s="2"/>
      <c r="M18" s="2"/>
      <c r="N18" s="2"/>
      <c r="O18" s="2"/>
      <c r="P18" s="2"/>
      <c r="R18" s="2"/>
      <c r="S18" s="2"/>
      <c r="T18" s="2"/>
      <c r="U18" s="2"/>
      <c r="V18" s="2"/>
    </row>
    <row r="19" spans="1:22" ht="15.75" x14ac:dyDescent="0.25">
      <c r="A19" s="4" t="s">
        <v>68</v>
      </c>
      <c r="B19" s="3" t="str">
        <f t="shared" si="0"/>
        <v>27</v>
      </c>
      <c r="C19" s="3" t="str">
        <f t="shared" si="1"/>
        <v>IT</v>
      </c>
      <c r="D19" s="4" t="str">
        <f t="shared" si="2"/>
        <v>JAN</v>
      </c>
      <c r="E19" s="4" t="s">
        <v>11</v>
      </c>
      <c r="F19" s="4" t="s">
        <v>69</v>
      </c>
      <c r="G19" s="4">
        <v>980</v>
      </c>
      <c r="H19" s="4">
        <v>10</v>
      </c>
      <c r="I19" s="4" t="s">
        <v>13</v>
      </c>
      <c r="J19" s="4" t="str">
        <f t="shared" si="3"/>
        <v>High Price</v>
      </c>
      <c r="L19" s="5" t="s">
        <v>70</v>
      </c>
      <c r="M19" s="2"/>
      <c r="N19" s="2"/>
      <c r="O19" s="2"/>
      <c r="P19" s="2"/>
      <c r="R19" s="2"/>
      <c r="S19" s="2"/>
      <c r="T19" s="2"/>
      <c r="U19" s="2"/>
      <c r="V19" s="2"/>
    </row>
    <row r="20" spans="1:22" x14ac:dyDescent="0.25">
      <c r="A20" s="3" t="s">
        <v>71</v>
      </c>
      <c r="B20" s="3" t="str">
        <f t="shared" si="0"/>
        <v>01</v>
      </c>
      <c r="C20" s="3" t="str">
        <f t="shared" si="1"/>
        <v>UK</v>
      </c>
      <c r="D20" s="4" t="str">
        <f t="shared" si="2"/>
        <v>MAR</v>
      </c>
      <c r="E20" s="3" t="s">
        <v>72</v>
      </c>
      <c r="F20" s="3" t="s">
        <v>73</v>
      </c>
      <c r="G20" s="3">
        <v>150</v>
      </c>
      <c r="H20" s="3">
        <v>15</v>
      </c>
      <c r="I20" s="3" t="s">
        <v>17</v>
      </c>
      <c r="J20" s="3" t="str">
        <f t="shared" si="3"/>
        <v>Standard Price</v>
      </c>
      <c r="L20" s="2"/>
      <c r="M20" s="2"/>
      <c r="N20" s="2"/>
      <c r="O20" s="2"/>
      <c r="P20" s="2"/>
      <c r="R20" s="2"/>
      <c r="S20" s="2"/>
      <c r="T20" s="2"/>
      <c r="U20" s="2"/>
      <c r="V20" s="2"/>
    </row>
    <row r="21" spans="1:22" ht="15.75" x14ac:dyDescent="0.25">
      <c r="A21" s="4" t="s">
        <v>74</v>
      </c>
      <c r="B21" s="3" t="str">
        <f t="shared" si="0"/>
        <v>14</v>
      </c>
      <c r="C21" s="3" t="str">
        <f t="shared" si="1"/>
        <v>US</v>
      </c>
      <c r="D21" s="4" t="str">
        <f t="shared" si="2"/>
        <v>AUG</v>
      </c>
      <c r="E21" s="4" t="s">
        <v>75</v>
      </c>
      <c r="F21" s="4" t="s">
        <v>76</v>
      </c>
      <c r="G21" s="4">
        <v>200</v>
      </c>
      <c r="H21" s="4">
        <v>10</v>
      </c>
      <c r="I21" s="4" t="s">
        <v>30</v>
      </c>
      <c r="J21" s="4" t="str">
        <f t="shared" si="3"/>
        <v>Standard Price</v>
      </c>
      <c r="L21" s="5" t="s">
        <v>77</v>
      </c>
      <c r="M21" s="2"/>
      <c r="N21" s="2"/>
      <c r="O21" s="2"/>
      <c r="P21" s="2"/>
      <c r="R21" s="2"/>
      <c r="S21" s="2"/>
      <c r="T21" s="2"/>
      <c r="U21" s="2"/>
      <c r="V21" s="2"/>
    </row>
    <row r="22" spans="1:22" x14ac:dyDescent="0.25">
      <c r="A22" s="3" t="s">
        <v>78</v>
      </c>
      <c r="B22" s="3" t="str">
        <f t="shared" si="0"/>
        <v>14</v>
      </c>
      <c r="C22" s="3" t="str">
        <f t="shared" si="1"/>
        <v>RU</v>
      </c>
      <c r="D22" s="4" t="str">
        <f t="shared" si="2"/>
        <v>MAY</v>
      </c>
      <c r="E22" s="3" t="s">
        <v>79</v>
      </c>
      <c r="F22" s="3" t="s">
        <v>80</v>
      </c>
      <c r="G22" s="3">
        <v>700</v>
      </c>
      <c r="H22" s="3">
        <v>50</v>
      </c>
      <c r="I22" s="3" t="s">
        <v>13</v>
      </c>
      <c r="J22" s="3" t="str">
        <f t="shared" si="3"/>
        <v>High Price</v>
      </c>
      <c r="L22" s="2"/>
      <c r="M22" s="2"/>
      <c r="N22" s="2"/>
      <c r="O22" s="2"/>
      <c r="P22" s="2"/>
      <c r="R22" s="2"/>
      <c r="S22" s="2"/>
      <c r="T22" s="2"/>
      <c r="U22" s="2"/>
      <c r="V22" s="2"/>
    </row>
    <row r="23" spans="1:22" ht="15.75" x14ac:dyDescent="0.25">
      <c r="A23" s="4" t="s">
        <v>81</v>
      </c>
      <c r="B23" s="3" t="str">
        <f t="shared" si="0"/>
        <v>09</v>
      </c>
      <c r="C23" s="3" t="str">
        <f t="shared" si="1"/>
        <v>CA</v>
      </c>
      <c r="D23" s="4" t="str">
        <f t="shared" si="2"/>
        <v>JAN</v>
      </c>
      <c r="E23" s="4" t="s">
        <v>82</v>
      </c>
      <c r="F23" s="4" t="s">
        <v>83</v>
      </c>
      <c r="G23" s="4">
        <v>80</v>
      </c>
      <c r="H23" s="4">
        <v>20</v>
      </c>
      <c r="I23" s="4" t="s">
        <v>22</v>
      </c>
      <c r="J23" s="4" t="str">
        <f t="shared" si="3"/>
        <v>Standard Price</v>
      </c>
      <c r="L23" s="5" t="s">
        <v>84</v>
      </c>
      <c r="M23" s="2"/>
      <c r="N23" s="2"/>
      <c r="O23" s="2"/>
      <c r="P23" s="2"/>
      <c r="R23" s="2"/>
      <c r="S23" s="2"/>
      <c r="T23" s="2"/>
      <c r="U23" s="2"/>
      <c r="V23" s="2"/>
    </row>
    <row r="24" spans="1:22" x14ac:dyDescent="0.25">
      <c r="A24" s="3" t="s">
        <v>85</v>
      </c>
      <c r="B24" s="3" t="str">
        <f t="shared" si="0"/>
        <v>19</v>
      </c>
      <c r="C24" s="3" t="str">
        <f t="shared" si="1"/>
        <v>BR</v>
      </c>
      <c r="D24" s="4" t="str">
        <f t="shared" si="2"/>
        <v>JUL</v>
      </c>
      <c r="E24" s="3" t="s">
        <v>86</v>
      </c>
      <c r="F24" s="3" t="s">
        <v>87</v>
      </c>
      <c r="G24" s="3">
        <v>150</v>
      </c>
      <c r="H24" s="3">
        <v>30</v>
      </c>
      <c r="I24" s="3" t="s">
        <v>13</v>
      </c>
      <c r="J24" s="3" t="str">
        <f t="shared" si="3"/>
        <v>Standard Price</v>
      </c>
      <c r="K24" s="2"/>
      <c r="L24" s="2"/>
      <c r="M24" s="2"/>
      <c r="N24" s="2"/>
      <c r="O24" s="2"/>
      <c r="Q24" s="2"/>
      <c r="R24" s="2"/>
      <c r="S24" s="2"/>
      <c r="T24" s="2"/>
      <c r="U24" s="2"/>
    </row>
    <row r="25" spans="1:22" ht="18.75" x14ac:dyDescent="0.4">
      <c r="A25" s="4" t="s">
        <v>61</v>
      </c>
      <c r="B25" s="3" t="str">
        <f t="shared" si="0"/>
        <v>21</v>
      </c>
      <c r="C25" s="3" t="str">
        <f t="shared" si="1"/>
        <v>CA</v>
      </c>
      <c r="D25" s="4" t="str">
        <f t="shared" si="2"/>
        <v>AUG</v>
      </c>
      <c r="E25" s="4" t="s">
        <v>62</v>
      </c>
      <c r="F25" s="4" t="s">
        <v>63</v>
      </c>
      <c r="G25" s="4">
        <v>50</v>
      </c>
      <c r="H25" s="4">
        <v>35</v>
      </c>
      <c r="I25" s="4" t="s">
        <v>64</v>
      </c>
      <c r="J25" s="4" t="str">
        <f t="shared" si="3"/>
        <v>Standard Price</v>
      </c>
      <c r="K25" s="11" t="s">
        <v>108</v>
      </c>
      <c r="L25" s="2"/>
      <c r="M25" s="2"/>
      <c r="N25" s="2"/>
      <c r="O25" s="11" t="s">
        <v>109</v>
      </c>
      <c r="P25" s="12" t="s">
        <v>110</v>
      </c>
      <c r="Q25" s="11" t="s">
        <v>111</v>
      </c>
      <c r="R25" s="11"/>
      <c r="S25" s="2"/>
      <c r="T25" s="2"/>
      <c r="U25" s="2"/>
    </row>
    <row r="26" spans="1:22" ht="15.75" x14ac:dyDescent="0.25">
      <c r="A26" s="3" t="s">
        <v>88</v>
      </c>
      <c r="B26" s="3" t="str">
        <f t="shared" si="0"/>
        <v>29</v>
      </c>
      <c r="C26" s="3" t="str">
        <f t="shared" si="1"/>
        <v>CA</v>
      </c>
      <c r="D26" s="4" t="str">
        <f t="shared" si="2"/>
        <v>SEP</v>
      </c>
      <c r="E26" s="3" t="s">
        <v>24</v>
      </c>
      <c r="F26" s="3" t="s">
        <v>89</v>
      </c>
      <c r="G26" s="3">
        <v>800</v>
      </c>
      <c r="H26" s="3">
        <v>45</v>
      </c>
      <c r="I26" s="3" t="s">
        <v>13</v>
      </c>
      <c r="J26" s="3" t="str">
        <f t="shared" si="3"/>
        <v>High Price</v>
      </c>
      <c r="K26" s="2"/>
      <c r="L26" s="2"/>
      <c r="M26" s="2"/>
      <c r="N26" s="2"/>
      <c r="O26" s="2"/>
      <c r="P26" s="2"/>
      <c r="Q26" s="2"/>
      <c r="R26" s="2"/>
      <c r="S26" s="2"/>
      <c r="T26" s="5"/>
      <c r="U26" s="2"/>
      <c r="V26" s="2"/>
    </row>
    <row r="27" spans="1:22" x14ac:dyDescent="0.25">
      <c r="A27" s="4" t="s">
        <v>90</v>
      </c>
      <c r="B27" s="3" t="str">
        <f t="shared" si="0"/>
        <v>03</v>
      </c>
      <c r="C27" s="3" t="str">
        <f t="shared" si="1"/>
        <v>CA</v>
      </c>
      <c r="D27" s="4" t="str">
        <f t="shared" si="2"/>
        <v>JUN</v>
      </c>
      <c r="E27" s="4" t="s">
        <v>72</v>
      </c>
      <c r="F27" s="4" t="s">
        <v>91</v>
      </c>
      <c r="G27" s="4">
        <v>130</v>
      </c>
      <c r="H27" s="4">
        <v>25</v>
      </c>
      <c r="I27" s="4" t="s">
        <v>17</v>
      </c>
      <c r="J27" s="4" t="str">
        <f t="shared" si="3"/>
        <v>Standard Price</v>
      </c>
      <c r="K27" s="7" t="s">
        <v>6</v>
      </c>
      <c r="L27" s="7" t="s">
        <v>9</v>
      </c>
      <c r="M27" s="2"/>
      <c r="N27" s="7" t="s">
        <v>0</v>
      </c>
      <c r="O27" s="7" t="s">
        <v>1</v>
      </c>
      <c r="P27" s="7" t="s">
        <v>2</v>
      </c>
      <c r="Q27" s="7" t="s">
        <v>3</v>
      </c>
      <c r="R27" s="2"/>
      <c r="S27" s="2"/>
      <c r="T27" s="2"/>
      <c r="U27" s="2"/>
    </row>
    <row r="28" spans="1:22" x14ac:dyDescent="0.25">
      <c r="A28" s="3" t="s">
        <v>92</v>
      </c>
      <c r="B28" s="3" t="str">
        <f t="shared" si="0"/>
        <v>11</v>
      </c>
      <c r="C28" s="3" t="str">
        <f t="shared" si="1"/>
        <v>CA</v>
      </c>
      <c r="D28" s="4" t="str">
        <f t="shared" si="2"/>
        <v>JUL</v>
      </c>
      <c r="E28" s="3" t="s">
        <v>39</v>
      </c>
      <c r="F28" s="3" t="s">
        <v>93</v>
      </c>
      <c r="G28" s="3">
        <v>400</v>
      </c>
      <c r="H28" s="3">
        <v>40</v>
      </c>
      <c r="I28" s="3" t="s">
        <v>22</v>
      </c>
      <c r="J28" s="3" t="str">
        <f t="shared" si="3"/>
        <v>Standard Price</v>
      </c>
      <c r="K28" s="3">
        <v>1000</v>
      </c>
      <c r="L28" s="3" t="str">
        <f t="shared" ref="L28:L61" si="4">IF(J14&gt;500,"High Price","Standard Price")</f>
        <v>High Price</v>
      </c>
      <c r="M28" s="2"/>
      <c r="N28" s="3" t="s">
        <v>10</v>
      </c>
      <c r="O28" s="3" t="str">
        <f>LEFT(N28,2)</f>
        <v>28</v>
      </c>
      <c r="P28" s="3" t="str">
        <f>RIGHT(N28,2)</f>
        <v>US</v>
      </c>
      <c r="Q28" s="4" t="str">
        <f>MID(N28,4,3)</f>
        <v>JAN</v>
      </c>
      <c r="R28" s="2"/>
      <c r="S28" s="2"/>
      <c r="T28" s="2"/>
      <c r="U28" s="2"/>
    </row>
    <row r="29" spans="1:22" x14ac:dyDescent="0.25">
      <c r="A29" s="4" t="s">
        <v>59</v>
      </c>
      <c r="B29" s="3" t="str">
        <f t="shared" si="0"/>
        <v>16</v>
      </c>
      <c r="C29" s="3" t="str">
        <f t="shared" si="1"/>
        <v>ES</v>
      </c>
      <c r="D29" s="4" t="str">
        <f t="shared" si="2"/>
        <v>APR</v>
      </c>
      <c r="E29" s="4" t="s">
        <v>32</v>
      </c>
      <c r="F29" s="4" t="s">
        <v>60</v>
      </c>
      <c r="G29" s="4">
        <v>230</v>
      </c>
      <c r="H29" s="4">
        <v>20</v>
      </c>
      <c r="I29" s="4" t="s">
        <v>13</v>
      </c>
      <c r="J29" s="4" t="str">
        <f t="shared" si="3"/>
        <v>Standard Price</v>
      </c>
      <c r="K29" s="4">
        <v>80</v>
      </c>
      <c r="L29" s="4" t="str">
        <f t="shared" si="4"/>
        <v>High Price</v>
      </c>
      <c r="M29" s="2"/>
      <c r="N29" s="4" t="s">
        <v>14</v>
      </c>
      <c r="O29" s="3" t="str">
        <f t="shared" ref="O29:O61" si="5">LEFT(N29,2)</f>
        <v>15</v>
      </c>
      <c r="P29" s="3" t="str">
        <f t="shared" ref="P29:P61" si="6">RIGHT(N29,2)</f>
        <v>US</v>
      </c>
      <c r="Q29" s="4" t="str">
        <f t="shared" ref="Q29:Q61" si="7">MID(N29,4,3)</f>
        <v>FEB</v>
      </c>
      <c r="R29" s="2"/>
      <c r="S29" s="2"/>
      <c r="T29" s="2"/>
      <c r="U29" s="2"/>
    </row>
    <row r="30" spans="1:22" x14ac:dyDescent="0.25">
      <c r="A30" s="3" t="s">
        <v>94</v>
      </c>
      <c r="B30" s="3" t="str">
        <f t="shared" si="0"/>
        <v>07</v>
      </c>
      <c r="C30" s="3" t="str">
        <f t="shared" si="1"/>
        <v>CA</v>
      </c>
      <c r="D30" s="4" t="str">
        <f t="shared" si="2"/>
        <v>MAR</v>
      </c>
      <c r="E30" s="3" t="s">
        <v>95</v>
      </c>
      <c r="F30" s="3" t="s">
        <v>96</v>
      </c>
      <c r="G30" s="3">
        <v>60</v>
      </c>
      <c r="H30" s="3">
        <v>30</v>
      </c>
      <c r="I30" s="3" t="s">
        <v>17</v>
      </c>
      <c r="J30" s="3" t="str">
        <f t="shared" si="3"/>
        <v>Standard Price</v>
      </c>
      <c r="K30" s="3">
        <v>130</v>
      </c>
      <c r="L30" s="3" t="str">
        <f t="shared" si="4"/>
        <v>High Price</v>
      </c>
      <c r="M30" s="2"/>
      <c r="N30" s="3" t="s">
        <v>19</v>
      </c>
      <c r="O30" s="3" t="str">
        <f t="shared" si="5"/>
        <v>03</v>
      </c>
      <c r="P30" s="3" t="str">
        <f t="shared" si="6"/>
        <v>US</v>
      </c>
      <c r="Q30" s="4" t="str">
        <f t="shared" si="7"/>
        <v>MAR</v>
      </c>
      <c r="R30" s="2"/>
      <c r="S30" s="2"/>
      <c r="T30" s="2"/>
    </row>
    <row r="31" spans="1:22" x14ac:dyDescent="0.25">
      <c r="A31" s="4" t="s">
        <v>97</v>
      </c>
      <c r="B31" s="3" t="str">
        <f t="shared" si="0"/>
        <v>13</v>
      </c>
      <c r="C31" s="3" t="str">
        <f t="shared" si="1"/>
        <v>CA</v>
      </c>
      <c r="D31" s="4" t="str">
        <f t="shared" si="2"/>
        <v>APR</v>
      </c>
      <c r="E31" s="4" t="s">
        <v>98</v>
      </c>
      <c r="F31" s="4" t="s">
        <v>99</v>
      </c>
      <c r="G31" s="4">
        <v>40</v>
      </c>
      <c r="H31" s="4">
        <v>10</v>
      </c>
      <c r="I31" s="4" t="s">
        <v>22</v>
      </c>
      <c r="J31" s="4" t="str">
        <f t="shared" si="3"/>
        <v>Standard Price</v>
      </c>
      <c r="K31" s="4">
        <v>900</v>
      </c>
      <c r="L31" s="4" t="str">
        <f t="shared" si="4"/>
        <v>High Price</v>
      </c>
      <c r="M31" s="2"/>
      <c r="N31" s="4" t="s">
        <v>23</v>
      </c>
      <c r="O31" s="3" t="str">
        <f t="shared" si="5"/>
        <v>11</v>
      </c>
      <c r="P31" s="3" t="str">
        <f t="shared" si="6"/>
        <v>US</v>
      </c>
      <c r="Q31" s="4" t="str">
        <f t="shared" si="7"/>
        <v>APR</v>
      </c>
      <c r="R31" s="2"/>
      <c r="S31" s="2"/>
      <c r="T31" s="2"/>
    </row>
    <row r="32" spans="1:22" x14ac:dyDescent="0.25">
      <c r="A32" s="3" t="s">
        <v>100</v>
      </c>
      <c r="B32" s="3" t="str">
        <f t="shared" si="0"/>
        <v>24</v>
      </c>
      <c r="C32" s="3" t="str">
        <f t="shared" si="1"/>
        <v>CA</v>
      </c>
      <c r="D32" s="4" t="str">
        <f t="shared" si="2"/>
        <v>MAY</v>
      </c>
      <c r="E32" s="3" t="s">
        <v>86</v>
      </c>
      <c r="F32" s="3" t="s">
        <v>101</v>
      </c>
      <c r="G32" s="3">
        <v>130</v>
      </c>
      <c r="H32" s="3">
        <v>5</v>
      </c>
      <c r="I32" s="3" t="s">
        <v>13</v>
      </c>
      <c r="J32" s="3" t="str">
        <f t="shared" si="3"/>
        <v>Standard Price</v>
      </c>
      <c r="K32" s="3">
        <v>70</v>
      </c>
      <c r="L32" s="3" t="str">
        <f t="shared" si="4"/>
        <v>High Price</v>
      </c>
      <c r="M32" s="2"/>
      <c r="N32" s="3" t="s">
        <v>27</v>
      </c>
      <c r="O32" s="3" t="str">
        <f t="shared" si="5"/>
        <v>22</v>
      </c>
      <c r="P32" s="3" t="str">
        <f t="shared" si="6"/>
        <v>US</v>
      </c>
      <c r="Q32" s="4" t="str">
        <f t="shared" si="7"/>
        <v>MAY</v>
      </c>
      <c r="R32" s="2"/>
      <c r="S32" s="2"/>
      <c r="T32" s="2"/>
    </row>
    <row r="33" spans="1:20" x14ac:dyDescent="0.25">
      <c r="A33" s="4" t="s">
        <v>102</v>
      </c>
      <c r="B33" s="3" t="str">
        <f t="shared" si="0"/>
        <v>02</v>
      </c>
      <c r="C33" s="3" t="str">
        <f t="shared" si="1"/>
        <v>CA</v>
      </c>
      <c r="D33" s="4" t="str">
        <f t="shared" si="2"/>
        <v>DEC</v>
      </c>
      <c r="E33" s="4" t="s">
        <v>103</v>
      </c>
      <c r="F33" s="4" t="s">
        <v>104</v>
      </c>
      <c r="G33" s="4">
        <v>50</v>
      </c>
      <c r="H33" s="4">
        <v>50</v>
      </c>
      <c r="I33" s="4" t="s">
        <v>17</v>
      </c>
      <c r="J33" s="4" t="str">
        <f t="shared" si="3"/>
        <v>Standard Price</v>
      </c>
      <c r="K33" s="4">
        <v>200</v>
      </c>
      <c r="L33" s="4" t="str">
        <f t="shared" si="4"/>
        <v>High Price</v>
      </c>
      <c r="M33" s="2"/>
      <c r="N33" s="4" t="s">
        <v>31</v>
      </c>
      <c r="O33" s="3" t="str">
        <f t="shared" si="5"/>
        <v>07</v>
      </c>
      <c r="P33" s="3" t="str">
        <f t="shared" si="6"/>
        <v>UK</v>
      </c>
      <c r="Q33" s="4" t="str">
        <f t="shared" si="7"/>
        <v>JUN</v>
      </c>
      <c r="R33" s="2"/>
      <c r="S33" s="2"/>
      <c r="T33" s="2"/>
    </row>
    <row r="34" spans="1:20" x14ac:dyDescent="0.25">
      <c r="A34" s="3" t="s">
        <v>49</v>
      </c>
      <c r="B34" s="3" t="str">
        <f t="shared" si="0"/>
        <v>17</v>
      </c>
      <c r="C34" s="3" t="str">
        <f t="shared" si="1"/>
        <v>IN</v>
      </c>
      <c r="D34" s="4" t="str">
        <f t="shared" si="2"/>
        <v>JUN</v>
      </c>
      <c r="E34" s="3" t="s">
        <v>11</v>
      </c>
      <c r="F34" s="3" t="s">
        <v>50</v>
      </c>
      <c r="G34" s="3">
        <v>950</v>
      </c>
      <c r="H34" s="3">
        <v>25</v>
      </c>
      <c r="I34" s="3" t="s">
        <v>13</v>
      </c>
      <c r="J34" s="3" t="str">
        <f>IF(G34&gt;500,"High Price","Standard Price")</f>
        <v>High Price</v>
      </c>
      <c r="K34" s="3">
        <v>30</v>
      </c>
      <c r="L34" s="3" t="str">
        <f t="shared" si="4"/>
        <v>High Price</v>
      </c>
      <c r="M34" s="2"/>
      <c r="N34" s="3" t="s">
        <v>35</v>
      </c>
      <c r="O34" s="3" t="str">
        <f t="shared" si="5"/>
        <v>19</v>
      </c>
      <c r="P34" s="3" t="str">
        <f t="shared" si="6"/>
        <v>UK</v>
      </c>
      <c r="Q34" s="4" t="str">
        <f t="shared" si="7"/>
        <v>JUL</v>
      </c>
      <c r="R34" s="2"/>
      <c r="S34" s="2"/>
      <c r="T34" s="2"/>
    </row>
    <row r="35" spans="1:20" x14ac:dyDescent="0.25">
      <c r="A35" s="4" t="s">
        <v>105</v>
      </c>
      <c r="B35" s="3" t="str">
        <f t="shared" si="0"/>
        <v>09</v>
      </c>
      <c r="C35" s="3" t="str">
        <f t="shared" si="1"/>
        <v>FR</v>
      </c>
      <c r="D35" s="4" t="str">
        <f t="shared" si="2"/>
        <v>JUL</v>
      </c>
      <c r="E35" s="4" t="s">
        <v>106</v>
      </c>
      <c r="F35" s="4" t="s">
        <v>107</v>
      </c>
      <c r="G35" s="4">
        <v>100</v>
      </c>
      <c r="H35" s="4">
        <v>20</v>
      </c>
      <c r="I35" s="4" t="s">
        <v>64</v>
      </c>
      <c r="J35" s="4" t="str">
        <f>IF(G35&gt;500,"High Price","Standard Price")</f>
        <v>Standard Price</v>
      </c>
      <c r="K35" s="4">
        <v>90</v>
      </c>
      <c r="L35" s="4" t="str">
        <f t="shared" si="4"/>
        <v>High Price</v>
      </c>
      <c r="M35" s="2"/>
      <c r="N35" s="4" t="s">
        <v>38</v>
      </c>
      <c r="O35" s="3" t="str">
        <f t="shared" si="5"/>
        <v>23</v>
      </c>
      <c r="P35" s="3" t="str">
        <f t="shared" si="6"/>
        <v>UK</v>
      </c>
      <c r="Q35" s="4" t="str">
        <f t="shared" si="7"/>
        <v>AUG</v>
      </c>
      <c r="R35" s="2"/>
      <c r="S35" s="2"/>
      <c r="T35" s="2"/>
    </row>
    <row r="36" spans="1:20" x14ac:dyDescent="0.25">
      <c r="K36" s="3">
        <v>500</v>
      </c>
      <c r="L36" s="3" t="str">
        <f t="shared" si="4"/>
        <v>High Price</v>
      </c>
      <c r="N36" s="3" t="s">
        <v>42</v>
      </c>
      <c r="O36" s="3" t="str">
        <f t="shared" si="5"/>
        <v>05</v>
      </c>
      <c r="P36" s="3" t="str">
        <f t="shared" si="6"/>
        <v>UK</v>
      </c>
      <c r="Q36" s="4" t="str">
        <f t="shared" si="7"/>
        <v>SEP</v>
      </c>
    </row>
    <row r="37" spans="1:20" x14ac:dyDescent="0.25">
      <c r="K37" s="4">
        <v>130</v>
      </c>
      <c r="L37" s="4" t="str">
        <f t="shared" si="4"/>
        <v>High Price</v>
      </c>
      <c r="N37" s="4" t="s">
        <v>45</v>
      </c>
      <c r="O37" s="3" t="str">
        <f t="shared" si="5"/>
        <v>14</v>
      </c>
      <c r="P37" s="3" t="str">
        <f t="shared" si="6"/>
        <v>UK</v>
      </c>
      <c r="Q37" s="4" t="str">
        <f t="shared" si="7"/>
        <v>OCT</v>
      </c>
    </row>
    <row r="38" spans="1:20" x14ac:dyDescent="0.25">
      <c r="K38" s="3">
        <v>950</v>
      </c>
      <c r="L38" s="3" t="str">
        <f t="shared" si="4"/>
        <v>High Price</v>
      </c>
      <c r="N38" s="3" t="s">
        <v>49</v>
      </c>
      <c r="O38" s="3" t="str">
        <f t="shared" si="5"/>
        <v>17</v>
      </c>
      <c r="P38" s="3" t="str">
        <f t="shared" si="6"/>
        <v>IN</v>
      </c>
      <c r="Q38" s="4" t="str">
        <f t="shared" si="7"/>
        <v>JUN</v>
      </c>
    </row>
    <row r="39" spans="1:20" x14ac:dyDescent="0.25">
      <c r="K39" s="4">
        <v>90</v>
      </c>
      <c r="L39" s="4" t="str">
        <f t="shared" si="4"/>
        <v>High Price</v>
      </c>
      <c r="N39" s="4" t="s">
        <v>51</v>
      </c>
      <c r="O39" s="3" t="str">
        <f t="shared" si="5"/>
        <v>25</v>
      </c>
      <c r="P39" s="3" t="str">
        <f t="shared" si="6"/>
        <v>AU</v>
      </c>
      <c r="Q39" s="4" t="str">
        <f t="shared" si="7"/>
        <v>NOV</v>
      </c>
    </row>
    <row r="40" spans="1:20" x14ac:dyDescent="0.25">
      <c r="K40" s="3">
        <v>120</v>
      </c>
      <c r="L40" s="3" t="str">
        <f t="shared" si="4"/>
        <v>High Price</v>
      </c>
      <c r="N40" s="3" t="s">
        <v>53</v>
      </c>
      <c r="O40" s="3" t="str">
        <f t="shared" si="5"/>
        <v>08</v>
      </c>
      <c r="P40" s="3" t="str">
        <f t="shared" si="6"/>
        <v>DE</v>
      </c>
      <c r="Q40" s="4" t="str">
        <f t="shared" si="7"/>
        <v>DEC</v>
      </c>
    </row>
    <row r="41" spans="1:20" x14ac:dyDescent="0.25">
      <c r="K41" s="4">
        <v>150</v>
      </c>
      <c r="L41" s="4" t="str">
        <f t="shared" si="4"/>
        <v>High Price</v>
      </c>
      <c r="N41" s="4" t="s">
        <v>55</v>
      </c>
      <c r="O41" s="3" t="str">
        <f t="shared" si="5"/>
        <v>18</v>
      </c>
      <c r="P41" s="3" t="str">
        <f t="shared" si="6"/>
        <v>CA</v>
      </c>
      <c r="Q41" s="4" t="str">
        <f t="shared" si="7"/>
        <v>FEB</v>
      </c>
    </row>
    <row r="42" spans="1:20" x14ac:dyDescent="0.25">
      <c r="K42" s="3">
        <v>250</v>
      </c>
      <c r="L42" s="3" t="str">
        <f t="shared" si="4"/>
        <v>High Price</v>
      </c>
      <c r="N42" s="3" t="s">
        <v>59</v>
      </c>
      <c r="O42" s="3" t="str">
        <f t="shared" si="5"/>
        <v>16</v>
      </c>
      <c r="P42" s="3" t="str">
        <f t="shared" si="6"/>
        <v>ES</v>
      </c>
      <c r="Q42" s="4" t="str">
        <f t="shared" si="7"/>
        <v>APR</v>
      </c>
    </row>
    <row r="43" spans="1:20" x14ac:dyDescent="0.25">
      <c r="K43" s="4">
        <v>50</v>
      </c>
      <c r="L43" s="4" t="str">
        <f t="shared" si="4"/>
        <v>High Price</v>
      </c>
      <c r="N43" s="4" t="s">
        <v>61</v>
      </c>
      <c r="O43" s="3" t="str">
        <f t="shared" si="5"/>
        <v>21</v>
      </c>
      <c r="P43" s="3" t="str">
        <f t="shared" si="6"/>
        <v>CA</v>
      </c>
      <c r="Q43" s="4" t="str">
        <f t="shared" si="7"/>
        <v>AUG</v>
      </c>
    </row>
    <row r="44" spans="1:20" x14ac:dyDescent="0.25">
      <c r="K44" s="3">
        <v>160</v>
      </c>
      <c r="L44" s="3" t="str">
        <f t="shared" si="4"/>
        <v>High Price</v>
      </c>
      <c r="N44" s="3" t="s">
        <v>66</v>
      </c>
      <c r="O44" s="3" t="str">
        <f t="shared" si="5"/>
        <v>20</v>
      </c>
      <c r="P44" s="3" t="str">
        <f t="shared" si="6"/>
        <v>CN</v>
      </c>
      <c r="Q44" s="4" t="str">
        <f t="shared" si="7"/>
        <v>AUG</v>
      </c>
    </row>
    <row r="45" spans="1:20" x14ac:dyDescent="0.25">
      <c r="K45" s="4">
        <v>980</v>
      </c>
      <c r="L45" s="4" t="str">
        <f t="shared" si="4"/>
        <v>High Price</v>
      </c>
      <c r="N45" s="4" t="s">
        <v>68</v>
      </c>
      <c r="O45" s="3" t="str">
        <f t="shared" si="5"/>
        <v>27</v>
      </c>
      <c r="P45" s="3" t="str">
        <f t="shared" si="6"/>
        <v>IT</v>
      </c>
      <c r="Q45" s="4" t="str">
        <f t="shared" si="7"/>
        <v>JAN</v>
      </c>
    </row>
    <row r="46" spans="1:20" x14ac:dyDescent="0.25">
      <c r="K46" s="3">
        <v>150</v>
      </c>
      <c r="L46" s="3" t="str">
        <f t="shared" si="4"/>
        <v>High Price</v>
      </c>
      <c r="N46" s="3" t="s">
        <v>71</v>
      </c>
      <c r="O46" s="3" t="str">
        <f t="shared" si="5"/>
        <v>01</v>
      </c>
      <c r="P46" s="3" t="str">
        <f t="shared" si="6"/>
        <v>UK</v>
      </c>
      <c r="Q46" s="4" t="str">
        <f t="shared" si="7"/>
        <v>MAR</v>
      </c>
    </row>
    <row r="47" spans="1:20" x14ac:dyDescent="0.25">
      <c r="K47" s="4">
        <v>200</v>
      </c>
      <c r="L47" s="4" t="str">
        <f t="shared" si="4"/>
        <v>High Price</v>
      </c>
      <c r="N47" s="4" t="s">
        <v>74</v>
      </c>
      <c r="O47" s="3" t="str">
        <f t="shared" si="5"/>
        <v>14</v>
      </c>
      <c r="P47" s="3" t="str">
        <f t="shared" si="6"/>
        <v>US</v>
      </c>
      <c r="Q47" s="4" t="str">
        <f t="shared" si="7"/>
        <v>AUG</v>
      </c>
    </row>
    <row r="48" spans="1:20" x14ac:dyDescent="0.25">
      <c r="K48" s="3">
        <v>700</v>
      </c>
      <c r="L48" s="3" t="str">
        <f t="shared" si="4"/>
        <v>High Price</v>
      </c>
      <c r="N48" s="3" t="s">
        <v>78</v>
      </c>
      <c r="O48" s="3" t="str">
        <f t="shared" si="5"/>
        <v>14</v>
      </c>
      <c r="P48" s="3" t="str">
        <f t="shared" si="6"/>
        <v>RU</v>
      </c>
      <c r="Q48" s="4" t="str">
        <f t="shared" si="7"/>
        <v>MAY</v>
      </c>
    </row>
    <row r="49" spans="11:19" x14ac:dyDescent="0.25">
      <c r="K49" s="4">
        <v>80</v>
      </c>
      <c r="L49" s="4" t="str">
        <f t="shared" si="4"/>
        <v>High Price</v>
      </c>
      <c r="N49" s="4" t="s">
        <v>81</v>
      </c>
      <c r="O49" s="3" t="str">
        <f t="shared" si="5"/>
        <v>09</v>
      </c>
      <c r="P49" s="3" t="str">
        <f t="shared" si="6"/>
        <v>CA</v>
      </c>
      <c r="Q49" s="4" t="str">
        <f t="shared" si="7"/>
        <v>JAN</v>
      </c>
    </row>
    <row r="50" spans="11:19" x14ac:dyDescent="0.25">
      <c r="K50" s="3">
        <v>150</v>
      </c>
      <c r="L50" s="3" t="str">
        <f t="shared" si="4"/>
        <v>Standard Price</v>
      </c>
      <c r="N50" s="3" t="s">
        <v>85</v>
      </c>
      <c r="O50" s="3" t="str">
        <f t="shared" si="5"/>
        <v>19</v>
      </c>
      <c r="P50" s="3" t="str">
        <f t="shared" si="6"/>
        <v>BR</v>
      </c>
      <c r="Q50" s="4" t="str">
        <f t="shared" si="7"/>
        <v>JUL</v>
      </c>
    </row>
    <row r="51" spans="11:19" x14ac:dyDescent="0.25">
      <c r="K51" s="4">
        <v>50</v>
      </c>
      <c r="L51" s="4" t="str">
        <f t="shared" si="4"/>
        <v>Standard Price</v>
      </c>
      <c r="N51" s="4" t="s">
        <v>61</v>
      </c>
      <c r="O51" s="3" t="str">
        <f t="shared" si="5"/>
        <v>21</v>
      </c>
      <c r="P51" s="3" t="str">
        <f t="shared" si="6"/>
        <v>CA</v>
      </c>
      <c r="Q51" s="4" t="str">
        <f t="shared" si="7"/>
        <v>AUG</v>
      </c>
    </row>
    <row r="52" spans="11:19" x14ac:dyDescent="0.25">
      <c r="K52" s="3">
        <v>800</v>
      </c>
      <c r="L52" s="3" t="str">
        <f t="shared" si="4"/>
        <v>Standard Price</v>
      </c>
      <c r="N52" s="3" t="s">
        <v>88</v>
      </c>
      <c r="O52" s="3" t="str">
        <f t="shared" si="5"/>
        <v>29</v>
      </c>
      <c r="P52" s="3" t="str">
        <f t="shared" si="6"/>
        <v>CA</v>
      </c>
      <c r="Q52" s="4" t="str">
        <f t="shared" si="7"/>
        <v>SEP</v>
      </c>
    </row>
    <row r="53" spans="11:19" x14ac:dyDescent="0.25">
      <c r="K53" s="4">
        <v>130</v>
      </c>
      <c r="L53" s="4" t="str">
        <f t="shared" si="4"/>
        <v>Standard Price</v>
      </c>
      <c r="N53" s="4" t="s">
        <v>90</v>
      </c>
      <c r="O53" s="3" t="str">
        <f t="shared" si="5"/>
        <v>03</v>
      </c>
      <c r="P53" s="3" t="str">
        <f t="shared" si="6"/>
        <v>CA</v>
      </c>
      <c r="Q53" s="4" t="str">
        <f t="shared" si="7"/>
        <v>JUN</v>
      </c>
    </row>
    <row r="54" spans="11:19" x14ac:dyDescent="0.25">
      <c r="K54" s="3">
        <v>400</v>
      </c>
      <c r="L54" s="3" t="str">
        <f t="shared" si="4"/>
        <v>Standard Price</v>
      </c>
      <c r="N54" s="3" t="s">
        <v>92</v>
      </c>
      <c r="O54" s="3" t="str">
        <f t="shared" si="5"/>
        <v>11</v>
      </c>
      <c r="P54" s="3" t="str">
        <f t="shared" si="6"/>
        <v>CA</v>
      </c>
      <c r="Q54" s="4" t="str">
        <f t="shared" si="7"/>
        <v>JUL</v>
      </c>
    </row>
    <row r="55" spans="11:19" x14ac:dyDescent="0.25">
      <c r="K55" s="4">
        <v>230</v>
      </c>
      <c r="L55" s="4" t="str">
        <f t="shared" si="4"/>
        <v>Standard Price</v>
      </c>
      <c r="N55" s="4" t="s">
        <v>59</v>
      </c>
      <c r="O55" s="3" t="str">
        <f t="shared" si="5"/>
        <v>16</v>
      </c>
      <c r="P55" s="3" t="str">
        <f t="shared" si="6"/>
        <v>ES</v>
      </c>
      <c r="Q55" s="4" t="str">
        <f t="shared" si="7"/>
        <v>APR</v>
      </c>
    </row>
    <row r="56" spans="11:19" x14ac:dyDescent="0.25">
      <c r="K56" s="3">
        <v>60</v>
      </c>
      <c r="L56" s="3" t="str">
        <f t="shared" si="4"/>
        <v>Standard Price</v>
      </c>
      <c r="N56" s="3" t="s">
        <v>94</v>
      </c>
      <c r="O56" s="3" t="str">
        <f t="shared" si="5"/>
        <v>07</v>
      </c>
      <c r="P56" s="3" t="str">
        <f t="shared" si="6"/>
        <v>CA</v>
      </c>
      <c r="Q56" s="4" t="str">
        <f t="shared" si="7"/>
        <v>MAR</v>
      </c>
    </row>
    <row r="57" spans="11:19" x14ac:dyDescent="0.25">
      <c r="K57" s="4">
        <v>40</v>
      </c>
      <c r="L57" s="4" t="str">
        <f t="shared" si="4"/>
        <v>Standard Price</v>
      </c>
      <c r="N57" s="4" t="s">
        <v>97</v>
      </c>
      <c r="O57" s="3" t="str">
        <f t="shared" si="5"/>
        <v>13</v>
      </c>
      <c r="P57" s="3" t="str">
        <f t="shared" si="6"/>
        <v>CA</v>
      </c>
      <c r="Q57" s="4" t="str">
        <f t="shared" si="7"/>
        <v>APR</v>
      </c>
    </row>
    <row r="58" spans="11:19" x14ac:dyDescent="0.25">
      <c r="K58" s="3">
        <v>130</v>
      </c>
      <c r="L58" s="3" t="str">
        <f t="shared" si="4"/>
        <v>Standard Price</v>
      </c>
      <c r="N58" s="3" t="s">
        <v>100</v>
      </c>
      <c r="O58" s="3" t="str">
        <f t="shared" si="5"/>
        <v>24</v>
      </c>
      <c r="P58" s="3" t="str">
        <f t="shared" si="6"/>
        <v>CA</v>
      </c>
      <c r="Q58" s="4" t="str">
        <f t="shared" si="7"/>
        <v>MAY</v>
      </c>
    </row>
    <row r="59" spans="11:19" x14ac:dyDescent="0.25">
      <c r="K59" s="4">
        <v>50</v>
      </c>
      <c r="L59" s="4" t="str">
        <f t="shared" si="4"/>
        <v>Standard Price</v>
      </c>
      <c r="N59" s="4" t="s">
        <v>102</v>
      </c>
      <c r="O59" s="3" t="str">
        <f t="shared" si="5"/>
        <v>02</v>
      </c>
      <c r="P59" s="3" t="str">
        <f t="shared" si="6"/>
        <v>CA</v>
      </c>
      <c r="Q59" s="4" t="str">
        <f t="shared" si="7"/>
        <v>DEC</v>
      </c>
    </row>
    <row r="60" spans="11:19" x14ac:dyDescent="0.25">
      <c r="K60" s="3">
        <v>950</v>
      </c>
      <c r="L60" s="3" t="str">
        <f t="shared" si="4"/>
        <v>Standard Price</v>
      </c>
      <c r="N60" s="3" t="s">
        <v>49</v>
      </c>
      <c r="O60" s="3" t="str">
        <f t="shared" si="5"/>
        <v>17</v>
      </c>
      <c r="P60" s="3" t="str">
        <f t="shared" si="6"/>
        <v>IN</v>
      </c>
      <c r="Q60" s="4" t="str">
        <f t="shared" si="7"/>
        <v>JUN</v>
      </c>
    </row>
    <row r="61" spans="11:19" x14ac:dyDescent="0.25">
      <c r="K61" s="4">
        <v>100</v>
      </c>
      <c r="L61" s="4" t="str">
        <f t="shared" si="4"/>
        <v>Standard Price</v>
      </c>
      <c r="N61" s="4" t="s">
        <v>105</v>
      </c>
      <c r="O61" s="3" t="str">
        <f t="shared" si="5"/>
        <v>09</v>
      </c>
      <c r="P61" s="3" t="str">
        <f t="shared" si="6"/>
        <v>FR</v>
      </c>
      <c r="Q61" s="4" t="str">
        <f t="shared" si="7"/>
        <v>JUL</v>
      </c>
    </row>
    <row r="63" spans="11:19" ht="15.75" x14ac:dyDescent="0.25">
      <c r="K63" s="5"/>
      <c r="L63" s="2"/>
      <c r="M63" s="2"/>
      <c r="N63" s="2"/>
      <c r="O63" s="2"/>
      <c r="Q63" s="2"/>
      <c r="R63" s="2"/>
      <c r="S63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2025-07-04T10:45:17Z</dcterms:modified>
</cp:coreProperties>
</file>