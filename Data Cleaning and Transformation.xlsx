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25" windowWidth="22695" windowHeight="11445" activeTab="2"/>
  </bookViews>
  <sheets>
    <sheet name="Instructions" sheetId="1" r:id="rId1"/>
    <sheet name="Dataset" sheetId="2" r:id="rId2"/>
    <sheet name="SLOUTION" sheetId="3" r:id="rId3"/>
  </sheets>
  <calcPr calcId="145621"/>
  <extLst>
    <ext uri="GoogleSheetsCustomDataVersion2">
      <go:sheetsCustomData xmlns:go="http://customooxmlschemas.google.com/" r:id="" roundtripDataChecksum="rIR6213FxEpgZ/k1UDjxyMHI45/G9Bc960XOAAH4UN4="/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" i="3"/>
  <c r="B38" i="3"/>
  <c r="L3" i="3" l="1"/>
  <c r="M3" i="3"/>
  <c r="M37" i="3"/>
  <c r="M38" i="3"/>
  <c r="L30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1" i="3"/>
  <c r="L32" i="3"/>
  <c r="L33" i="3"/>
  <c r="L34" i="3"/>
  <c r="L35" i="3"/>
  <c r="L36" i="3"/>
  <c r="G5" i="2" l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4" i="2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G38" i="2"/>
  <c r="G39" i="2"/>
</calcChain>
</file>

<file path=xl/sharedStrings.xml><?xml version="1.0" encoding="utf-8"?>
<sst xmlns="http://schemas.openxmlformats.org/spreadsheetml/2006/main" count="268" uniqueCount="124">
  <si>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</si>
  <si>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</si>
  <si>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</si>
  <si>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</si>
  <si>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</si>
  <si>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</si>
  <si>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</si>
  <si>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</si>
  <si>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</si>
  <si>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</si>
  <si>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</si>
  <si>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</si>
  <si>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</si>
  <si>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</si>
  <si>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</si>
  <si>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</si>
  <si>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</si>
  <si>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</si>
  <si>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</si>
  <si>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</si>
  <si>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</si>
  <si>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</si>
  <si>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</si>
  <si>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</si>
  <si>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</si>
  <si>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</si>
  <si>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</si>
  <si>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</si>
  <si>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</si>
  <si>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</si>
  <si>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</si>
  <si>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</si>
  <si>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</si>
  <si>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Samsung</t>
  </si>
  <si>
    <t>Backpack</t>
  </si>
  <si>
    <t>North Face</t>
  </si>
  <si>
    <t>Headphones</t>
  </si>
  <si>
    <t>Sony</t>
  </si>
  <si>
    <t>T-shirt</t>
  </si>
  <si>
    <t>Adidas</t>
  </si>
  <si>
    <t>Blender</t>
  </si>
  <si>
    <t>Ninja</t>
  </si>
  <si>
    <t>Tablet</t>
  </si>
  <si>
    <t>Apple</t>
  </si>
  <si>
    <t>Hiking Boots</t>
  </si>
  <si>
    <t>Timberland</t>
  </si>
  <si>
    <t>Outdoor</t>
  </si>
  <si>
    <t>Laptop</t>
  </si>
  <si>
    <t>HP</t>
  </si>
  <si>
    <t>Nespresso</t>
  </si>
  <si>
    <t>Smartwatch</t>
  </si>
  <si>
    <t>Fitbit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</si>
  <si>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</si>
  <si>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</si>
  <si>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</si>
  <si>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</si>
  <si>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</si>
  <si>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</si>
  <si>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</si>
  <si>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</si>
  <si>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</si>
  <si>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</si>
  <si>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</si>
  <si>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</si>
  <si>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</si>
  <si>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</si>
  <si>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</si>
  <si>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</si>
  <si>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Smartphone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</si>
  <si>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</si>
  <si>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</si>
  <si>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</si>
  <si>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</si>
  <si>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</si>
  <si>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</si>
  <si>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</si>
  <si>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</si>
  <si>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</si>
  <si>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</si>
  <si>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</si>
  <si>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</si>
  <si>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Price</t>
  </si>
  <si>
    <t>Category2</t>
  </si>
  <si>
    <t>Product Brand</t>
  </si>
  <si>
    <t>28-JAN-US</t>
  </si>
  <si>
    <t>laptop</t>
  </si>
  <si>
    <t>15-FEB-US</t>
  </si>
  <si>
    <t>03-MAR-US</t>
  </si>
  <si>
    <t>11-APR-US</t>
  </si>
  <si>
    <t>smartphone</t>
  </si>
  <si>
    <t>22-MAY-US</t>
  </si>
  <si>
    <t>07-JUN-UK</t>
  </si>
  <si>
    <t>Electroni</t>
  </si>
  <si>
    <t>19-JUL-UK</t>
  </si>
  <si>
    <t>23-AUG-UK</t>
  </si>
  <si>
    <t>05-SEP-UK</t>
  </si>
  <si>
    <t>14-OCT-UK</t>
  </si>
  <si>
    <t>17-JUN-IN</t>
  </si>
  <si>
    <t>25-NOV-AU</t>
  </si>
  <si>
    <t>08-DEC-DE</t>
  </si>
  <si>
    <t>18-FEB-CA</t>
  </si>
  <si>
    <t>16-APR-ES</t>
  </si>
  <si>
    <t>headphones</t>
  </si>
  <si>
    <t>21-AUG-CA</t>
  </si>
  <si>
    <t>20-AUG-CN</t>
  </si>
  <si>
    <t>27-JAN-IT</t>
  </si>
  <si>
    <t>01-MAR-UK</t>
  </si>
  <si>
    <t>14-AUG-US</t>
  </si>
  <si>
    <t>14-MAY-RU</t>
  </si>
  <si>
    <t>09-JAN-CA</t>
  </si>
  <si>
    <t>19-JUL-BR</t>
  </si>
  <si>
    <t>29-SEP-CA</t>
  </si>
  <si>
    <t>03-JUN-CA</t>
  </si>
  <si>
    <t>11-JUL-CA</t>
  </si>
  <si>
    <t>07-MAR-CA</t>
  </si>
  <si>
    <t>13-APR-CA</t>
  </si>
  <si>
    <t>24-MAY-CA</t>
  </si>
  <si>
    <t>02-DEC-CA</t>
  </si>
  <si>
    <t>09-JUL-FR</t>
  </si>
  <si>
    <t>Price ($) Quantity</t>
  </si>
  <si>
    <t>Product Date</t>
  </si>
  <si>
    <t>Product Month</t>
  </si>
  <si>
    <t>Country Code</t>
  </si>
  <si>
    <t>Manufataturing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</si>
</sst>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5" fillId="0" borderId="0" xfId="0" applyFont="1" applyAlignment="1">
      <alignment horizontal="right"/>
    </xf>
    <xf numFmtId="0" fontId="5" fillId="3" borderId="0" xfId="0" applyFont="1" applyFill="1" applyAlignment="1">
      <alignment horizontal="right"/>
    </xf>
    <xf numFmtId="0" fontId="5" fillId="3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0" fillId="0" borderId="0" xfId="0" applyFont="1" applyAlignment="1">
      <alignment horizontal="right"/>
    </xf>
    <xf numFmtId="164" fontId="5" fillId="0" borderId="0" xfId="0" applyNumberFormat="1" applyFont="1"/>
    <xf numFmtId="164" fontId="5" fillId="3" borderId="0" xfId="0" applyNumberFormat="1" applyFont="1" applyFill="1"/>
    <xf numFmtId="14" fontId="5" fillId="0" borderId="0" xfId="0" applyNumberFormat="1" applyFont="1"/>
    <xf numFmtId="14" fontId="5" fillId="3" borderId="0" xfId="0" applyNumberFormat="1" applyFont="1" applyFill="1" applyAlignment="1">
      <alignment horizontal="right"/>
    </xf>
    <xf numFmtId="164" fontId="0" fillId="0" borderId="0" xfId="0" applyNumberFormat="1" applyFont="1"/>
    <xf numFmtId="164" fontId="5" fillId="3" borderId="0" xfId="0" applyNumberFormat="1" applyFont="1" applyFill="1" applyAlignment="1"/>
    <xf numFmtId="0" fontId="5" fillId="3" borderId="0" xfId="0" applyFont="1" applyFill="1" applyAlignment="1"/>
    <xf numFmtId="0" fontId="0" fillId="3" borderId="0" xfId="0" applyFont="1" applyFill="1" applyAlignment="1"/>
    <xf numFmtId="14" fontId="5" fillId="3" borderId="0" xfId="0" applyNumberFormat="1" applyFont="1" applyFill="1"/>
    <xf numFmtId="0" fontId="5" fillId="0" borderId="0" xfId="0" applyNumberFormat="1" applyFont="1"/>
    <xf numFmtId="0" fontId="8" fillId="2" borderId="0" xfId="0" applyFont="1" applyFill="1" applyAlignment="1">
      <alignment horizontal="center"/>
    </xf>
    <xf numFmtId="14" fontId="5" fillId="0" borderId="0" xfId="0" applyNumberFormat="1" applyFont="1" applyAlignment="1">
      <alignment horizontal="right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&quot;₹&quot;\ #,##0.00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3:G39" totalsRowShown="0" headerRowDxfId="24" dataDxfId="23">
  <autoFilter ref="B3:G39"/>
  <tableColumns count="6">
    <tableColumn id="1" name="Product ID" dataDxfId="22"/>
    <tableColumn id="9" name="Product Name" dataDxfId="21"/>
    <tableColumn id="2" name="Price ($)" dataDxfId="20"/>
    <tableColumn id="3" name="Quantity" dataDxfId="19"/>
    <tableColumn id="4" name="Category" dataDxfId="18"/>
    <tableColumn id="11" name="Price ($) Quantity" dataDxfId="17">
      <calculatedColumnFormula>CONCATENATE(SLOUTION!F3," ",SLOUTION!G3)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2:M36" totalsRowShown="0" headerRowDxfId="16" dataDxfId="15">
  <autoFilter ref="A2:M36"/>
  <tableColumns count="13">
    <tableColumn id="2" name="Product ID" dataDxfId="5"/>
    <tableColumn id="3" name="Product Date" dataDxfId="4">
      <calculatedColumnFormula>LEFT(A2,2)</calculatedColumnFormula>
    </tableColumn>
    <tableColumn id="1" name="Product Month" dataDxfId="3">
      <calculatedColumnFormula>MID(A3,4,4)</calculatedColumnFormula>
    </tableColumn>
    <tableColumn id="13" name="Country Code" dataDxfId="2">
      <calculatedColumnFormula>RIGHT(A2,2)</calculatedColumnFormula>
    </tableColumn>
    <tableColumn id="14" name="Manufataturing Date" dataDxfId="0">
      <calculatedColumnFormula>TEXT(A3,"DD-MM-YYYY")</calculatedColumnFormula>
    </tableColumn>
    <tableColumn id="4" name="Product Name" dataDxfId="1"/>
    <tableColumn id="5" name="Brand Name" dataDxfId="14"/>
    <tableColumn id="6" name="Price ($)" dataDxfId="13"/>
    <tableColumn id="7" name="Quantity" dataDxfId="12"/>
    <tableColumn id="8" name="Category" dataDxfId="11"/>
    <tableColumn id="9" name="Price" dataDxfId="10">
      <calculatedColumnFormula>IF(ISBLANK(H3),AVERAGE($H$3:$H$36),H3)</calculatedColumnFormula>
    </tableColumn>
    <tableColumn id="10" name="Category2" dataDxfId="9">
      <calculatedColumnFormula>IF(ISBLANK(J3),"Unknown",J3)</calculatedColumnFormula>
    </tableColumn>
    <tableColumn id="11" name="Product Brand" dataDxfId="8">
      <calculatedColumnFormula>CONCATENATE(F3," ",G3)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showGridLines="0" zoomScale="140" zoomScaleNormal="140" workbookViewId="0">
      <selection activeCell="G20" sqref="F20:G20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25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25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25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25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25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25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25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25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25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M126"/>
  <sheetViews>
    <sheetView zoomScale="130" zoomScaleNormal="130" workbookViewId="0">
      <selection activeCell="I18" sqref="I18"/>
    </sheetView>
  </sheetViews>
  <sheetFormatPr defaultColWidth="12.5703125" defaultRowHeight="15" customHeight="1" x14ac:dyDescent="0.2"/>
  <cols>
    <col min="1" max="1" width="4.7109375" customWidth="1"/>
    <col min="2" max="2" width="13.28515625" customWidth="1"/>
    <col min="3" max="3" width="14.28515625" style="16" customWidth="1"/>
    <col min="4" max="4" width="19" customWidth="1"/>
    <col min="5" max="5" width="17" style="16" customWidth="1"/>
    <col min="6" max="6" width="19.140625" customWidth="1"/>
    <col min="7" max="7" width="19" customWidth="1"/>
    <col min="10" max="10" width="25.7109375" customWidth="1"/>
    <col min="12" max="12" width="19.28515625" customWidth="1"/>
  </cols>
  <sheetData>
    <row r="2" spans="2:13" ht="15.75" customHeight="1" x14ac:dyDescent="0.2"/>
    <row r="3" spans="2:13" ht="15.75" customHeight="1" x14ac:dyDescent="0.2">
      <c r="B3" s="9" t="s">
        <v>19</v>
      </c>
      <c r="C3" s="9" t="s">
        <v>20</v>
      </c>
      <c r="D3" s="9" t="s">
        <v>22</v>
      </c>
      <c r="E3" s="9" t="s">
        <v>23</v>
      </c>
      <c r="F3" s="9" t="s">
        <v>24</v>
      </c>
      <c r="G3" s="14" t="s">
        <v>119</v>
      </c>
    </row>
    <row r="4" spans="2:13" ht="15.75" customHeight="1" x14ac:dyDescent="0.2">
      <c r="B4" s="19" t="s">
        <v>84</v>
      </c>
      <c r="C4" s="19" t="s">
        <v>85</v>
      </c>
      <c r="D4" s="19">
        <v>1000</v>
      </c>
      <c r="E4" s="19">
        <v>30</v>
      </c>
      <c r="F4" s="19" t="s">
        <v>26</v>
      </c>
      <c r="G4" s="20" t="str">
        <f t="shared" ref="G4:G28" si="0">CONCATENATE(D4," ",E4)</f>
        <v>1000 30</v>
      </c>
    </row>
    <row r="5" spans="2:13" ht="15.75" customHeight="1" x14ac:dyDescent="0.2">
      <c r="B5" s="11" t="s">
        <v>86</v>
      </c>
      <c r="C5" s="11" t="s">
        <v>27</v>
      </c>
      <c r="D5" s="11">
        <v>80</v>
      </c>
      <c r="E5" s="11">
        <v>15</v>
      </c>
      <c r="F5" s="11" t="s">
        <v>29</v>
      </c>
      <c r="G5" s="14" t="str">
        <f t="shared" si="0"/>
        <v>80 15</v>
      </c>
    </row>
    <row r="6" spans="2:13" ht="15.75" customHeight="1" x14ac:dyDescent="0.2">
      <c r="B6" s="10" t="s">
        <v>87</v>
      </c>
      <c r="C6" s="10" t="s">
        <v>30</v>
      </c>
      <c r="D6" s="10">
        <v>130</v>
      </c>
      <c r="E6" s="10">
        <v>40</v>
      </c>
      <c r="F6" s="10" t="s">
        <v>32</v>
      </c>
      <c r="G6" s="14" t="str">
        <f t="shared" si="0"/>
        <v>130 40</v>
      </c>
    </row>
    <row r="7" spans="2:13" ht="15.75" customHeight="1" x14ac:dyDescent="0.2">
      <c r="B7" s="11" t="s">
        <v>88</v>
      </c>
      <c r="C7" s="11" t="s">
        <v>89</v>
      </c>
      <c r="D7" s="11">
        <v>900</v>
      </c>
      <c r="E7" s="11">
        <v>25</v>
      </c>
      <c r="F7" s="11" t="s">
        <v>26</v>
      </c>
      <c r="G7" s="14" t="str">
        <f t="shared" si="0"/>
        <v>900 25</v>
      </c>
    </row>
    <row r="8" spans="2:13" ht="15.75" customHeight="1" x14ac:dyDescent="0.2">
      <c r="B8" s="10" t="s">
        <v>90</v>
      </c>
      <c r="C8" s="10" t="s">
        <v>34</v>
      </c>
      <c r="D8" s="10">
        <v>70</v>
      </c>
      <c r="E8" s="10">
        <v>20</v>
      </c>
      <c r="F8" s="10"/>
      <c r="G8" s="14" t="str">
        <f t="shared" si="0"/>
        <v>70 20</v>
      </c>
    </row>
    <row r="9" spans="2:13" ht="15.75" customHeight="1" x14ac:dyDescent="0.2">
      <c r="B9" s="11" t="s">
        <v>91</v>
      </c>
      <c r="C9" s="11" t="s">
        <v>36</v>
      </c>
      <c r="D9" s="11"/>
      <c r="E9" s="11">
        <v>45</v>
      </c>
      <c r="F9" s="11" t="s">
        <v>92</v>
      </c>
      <c r="G9" s="14" t="str">
        <f t="shared" si="0"/>
        <v xml:space="preserve"> 45</v>
      </c>
    </row>
    <row r="10" spans="2:13" ht="15.75" customHeight="1" x14ac:dyDescent="0.2">
      <c r="B10" s="10" t="s">
        <v>93</v>
      </c>
      <c r="C10" s="10" t="s">
        <v>38</v>
      </c>
      <c r="D10" s="10">
        <v>30</v>
      </c>
      <c r="E10" s="10">
        <v>5</v>
      </c>
      <c r="F10" s="10" t="s">
        <v>29</v>
      </c>
      <c r="G10" s="14" t="str">
        <f t="shared" si="0"/>
        <v>30 5</v>
      </c>
    </row>
    <row r="11" spans="2:13" ht="15.75" customHeight="1" x14ac:dyDescent="0.2">
      <c r="B11" s="11" t="s">
        <v>94</v>
      </c>
      <c r="C11" s="11" t="s">
        <v>40</v>
      </c>
      <c r="D11" s="11">
        <v>90</v>
      </c>
      <c r="E11" s="11">
        <v>35</v>
      </c>
      <c r="F11" s="11" t="s">
        <v>32</v>
      </c>
      <c r="G11" s="14" t="str">
        <f t="shared" si="0"/>
        <v>90 35</v>
      </c>
    </row>
    <row r="12" spans="2:13" ht="15.75" customHeight="1" x14ac:dyDescent="0.2">
      <c r="B12" s="10" t="s">
        <v>95</v>
      </c>
      <c r="C12" s="10" t="s">
        <v>42</v>
      </c>
      <c r="D12" s="10">
        <v>500</v>
      </c>
      <c r="E12" s="10">
        <v>50</v>
      </c>
      <c r="F12" s="10" t="s">
        <v>26</v>
      </c>
      <c r="G12" s="14" t="str">
        <f t="shared" si="0"/>
        <v>500 50</v>
      </c>
    </row>
    <row r="13" spans="2:13" ht="15.75" customHeight="1" x14ac:dyDescent="0.2">
      <c r="B13" s="11" t="s">
        <v>96</v>
      </c>
      <c r="C13" s="11" t="s">
        <v>44</v>
      </c>
      <c r="D13" s="11">
        <v>130</v>
      </c>
      <c r="E13" s="11">
        <v>10</v>
      </c>
      <c r="F13" s="11" t="s">
        <v>46</v>
      </c>
      <c r="G13" s="14" t="str">
        <f t="shared" si="0"/>
        <v>130 10</v>
      </c>
    </row>
    <row r="14" spans="2:13" ht="15.75" customHeight="1" x14ac:dyDescent="0.2">
      <c r="B14" s="10" t="s">
        <v>97</v>
      </c>
      <c r="C14" s="10" t="s">
        <v>47</v>
      </c>
      <c r="D14" s="10">
        <v>950</v>
      </c>
      <c r="E14" s="10">
        <v>25</v>
      </c>
      <c r="F14" s="10" t="s">
        <v>26</v>
      </c>
      <c r="G14" s="14" t="str">
        <f t="shared" si="0"/>
        <v>950 25</v>
      </c>
    </row>
    <row r="15" spans="2:13" ht="15.75" customHeight="1" x14ac:dyDescent="0.2">
      <c r="B15" s="11" t="s">
        <v>98</v>
      </c>
      <c r="C15" s="11" t="s">
        <v>27</v>
      </c>
      <c r="D15" s="11">
        <v>90</v>
      </c>
      <c r="E15" s="11">
        <v>40</v>
      </c>
      <c r="F15" s="11"/>
      <c r="G15" s="14" t="str">
        <f t="shared" si="0"/>
        <v>90 40</v>
      </c>
    </row>
    <row r="16" spans="2:13" ht="15.75" customHeight="1" x14ac:dyDescent="0.2">
      <c r="B16" s="10" t="s">
        <v>99</v>
      </c>
      <c r="C16" s="10" t="s">
        <v>30</v>
      </c>
      <c r="D16" s="10">
        <v>120</v>
      </c>
      <c r="E16" s="10">
        <v>35</v>
      </c>
      <c r="F16" s="10"/>
      <c r="G16" s="14" t="str">
        <f t="shared" si="0"/>
        <v>120 35</v>
      </c>
      <c r="H16" s="6"/>
      <c r="I16" s="6"/>
      <c r="J16" s="6"/>
      <c r="K16" s="6"/>
      <c r="L16" s="6"/>
      <c r="M16" s="6"/>
    </row>
    <row r="17" spans="2:13" ht="15.75" customHeight="1" x14ac:dyDescent="0.2">
      <c r="B17" s="11" t="s">
        <v>100</v>
      </c>
      <c r="C17" s="11" t="s">
        <v>50</v>
      </c>
      <c r="D17" s="11">
        <v>150</v>
      </c>
      <c r="E17" s="11">
        <v>15</v>
      </c>
      <c r="F17" s="11" t="s">
        <v>92</v>
      </c>
      <c r="G17" s="14" t="str">
        <f t="shared" si="0"/>
        <v>150 15</v>
      </c>
      <c r="H17" s="6"/>
      <c r="I17" s="6"/>
      <c r="J17" s="6"/>
      <c r="K17" s="6"/>
      <c r="L17" s="6"/>
      <c r="M17" s="6"/>
    </row>
    <row r="18" spans="2:13" ht="15.75" customHeight="1" x14ac:dyDescent="0.2">
      <c r="B18" s="10" t="s">
        <v>101</v>
      </c>
      <c r="C18" s="10" t="s">
        <v>102</v>
      </c>
      <c r="D18" s="10">
        <v>250</v>
      </c>
      <c r="E18" s="10">
        <v>20</v>
      </c>
      <c r="F18" s="10" t="s">
        <v>92</v>
      </c>
      <c r="G18" s="14" t="str">
        <f t="shared" si="0"/>
        <v>250 20</v>
      </c>
      <c r="H18" s="6"/>
      <c r="I18" s="6"/>
      <c r="J18" s="6"/>
      <c r="K18" s="6"/>
      <c r="L18" s="6"/>
      <c r="M18" s="6"/>
    </row>
    <row r="19" spans="2:13" ht="15.75" customHeight="1" x14ac:dyDescent="0.2">
      <c r="B19" s="11" t="s">
        <v>103</v>
      </c>
      <c r="C19" s="11" t="s">
        <v>53</v>
      </c>
      <c r="D19" s="11">
        <v>50</v>
      </c>
      <c r="E19" s="11">
        <v>35</v>
      </c>
      <c r="F19" s="11" t="s">
        <v>55</v>
      </c>
      <c r="G19" s="14" t="str">
        <f t="shared" si="0"/>
        <v>50 35</v>
      </c>
      <c r="H19" s="6"/>
      <c r="I19" s="6"/>
      <c r="J19" s="6"/>
      <c r="K19" s="6"/>
      <c r="L19" s="6"/>
      <c r="M19" s="6"/>
    </row>
    <row r="20" spans="2:13" ht="15.75" customHeight="1" x14ac:dyDescent="0.2">
      <c r="B20" s="10" t="s">
        <v>104</v>
      </c>
      <c r="C20" s="10" t="s">
        <v>50</v>
      </c>
      <c r="D20" s="10">
        <v>160</v>
      </c>
      <c r="E20" s="10">
        <v>15</v>
      </c>
      <c r="F20" s="10" t="s">
        <v>92</v>
      </c>
      <c r="G20" s="14" t="str">
        <f t="shared" si="0"/>
        <v>160 15</v>
      </c>
      <c r="H20" s="6"/>
      <c r="I20" s="6"/>
      <c r="J20" s="6"/>
      <c r="K20" s="6"/>
      <c r="L20" s="6"/>
      <c r="M20" s="6"/>
    </row>
    <row r="21" spans="2:13" ht="15.75" customHeight="1" x14ac:dyDescent="0.2">
      <c r="B21" s="11" t="s">
        <v>105</v>
      </c>
      <c r="C21" s="11" t="s">
        <v>85</v>
      </c>
      <c r="D21" s="11">
        <v>980</v>
      </c>
      <c r="E21" s="11">
        <v>10</v>
      </c>
      <c r="F21" s="11" t="s">
        <v>26</v>
      </c>
      <c r="G21" s="14" t="str">
        <f t="shared" si="0"/>
        <v>980 10</v>
      </c>
      <c r="H21" s="6"/>
      <c r="I21" s="6"/>
      <c r="J21" s="6"/>
      <c r="K21" s="6"/>
      <c r="L21" s="6"/>
      <c r="M21" s="6"/>
    </row>
    <row r="22" spans="2:13" ht="15.75" customHeight="1" x14ac:dyDescent="0.2">
      <c r="B22" s="10" t="s">
        <v>106</v>
      </c>
      <c r="C22" s="10" t="s">
        <v>58</v>
      </c>
      <c r="D22" s="10">
        <v>150</v>
      </c>
      <c r="E22" s="10">
        <v>15</v>
      </c>
      <c r="F22" s="10" t="s">
        <v>29</v>
      </c>
      <c r="G22" s="14" t="str">
        <f t="shared" si="0"/>
        <v>150 15</v>
      </c>
      <c r="H22" s="6"/>
      <c r="I22" s="6"/>
      <c r="J22" s="6"/>
      <c r="K22" s="6"/>
      <c r="L22" s="6"/>
      <c r="M22" s="6"/>
    </row>
    <row r="23" spans="2:13" ht="15.75" customHeight="1" x14ac:dyDescent="0.2">
      <c r="B23" s="11" t="s">
        <v>107</v>
      </c>
      <c r="C23" s="11" t="s">
        <v>60</v>
      </c>
      <c r="D23" s="11"/>
      <c r="E23" s="11">
        <v>10</v>
      </c>
      <c r="F23" s="11" t="s">
        <v>46</v>
      </c>
      <c r="G23" s="14" t="str">
        <f t="shared" si="0"/>
        <v xml:space="preserve"> 10</v>
      </c>
      <c r="H23" s="6"/>
      <c r="I23" s="6"/>
      <c r="J23" s="6"/>
      <c r="K23" s="6"/>
      <c r="L23" s="6"/>
      <c r="M23" s="6"/>
    </row>
    <row r="24" spans="2:13" ht="15.75" customHeight="1" x14ac:dyDescent="0.2">
      <c r="B24" s="10" t="s">
        <v>108</v>
      </c>
      <c r="C24" s="10" t="s">
        <v>62</v>
      </c>
      <c r="D24" s="10">
        <v>700</v>
      </c>
      <c r="E24" s="10">
        <v>50</v>
      </c>
      <c r="F24" s="10" t="s">
        <v>26</v>
      </c>
      <c r="G24" s="14" t="str">
        <f t="shared" si="0"/>
        <v>700 50</v>
      </c>
      <c r="H24" s="6"/>
      <c r="I24" s="6"/>
      <c r="J24" s="6"/>
      <c r="K24" s="6"/>
      <c r="L24" s="6"/>
      <c r="M24" s="6"/>
    </row>
    <row r="25" spans="2:13" ht="15.75" customHeight="1" x14ac:dyDescent="0.2">
      <c r="B25" s="11" t="s">
        <v>109</v>
      </c>
      <c r="C25" s="11" t="s">
        <v>64</v>
      </c>
      <c r="D25" s="11">
        <v>80</v>
      </c>
      <c r="E25" s="11">
        <v>20</v>
      </c>
      <c r="F25" s="11" t="s">
        <v>32</v>
      </c>
      <c r="G25" s="14" t="str">
        <f t="shared" si="0"/>
        <v>80 20</v>
      </c>
      <c r="H25" s="6"/>
      <c r="I25" s="6"/>
      <c r="J25" s="6"/>
      <c r="K25" s="6"/>
      <c r="L25" s="6"/>
      <c r="M25" s="6"/>
    </row>
    <row r="26" spans="2:13" ht="15.75" customHeight="1" x14ac:dyDescent="0.2">
      <c r="B26" s="10" t="s">
        <v>110</v>
      </c>
      <c r="C26" s="10" t="s">
        <v>66</v>
      </c>
      <c r="D26" s="10">
        <v>150</v>
      </c>
      <c r="E26" s="10">
        <v>30</v>
      </c>
      <c r="F26" s="10"/>
      <c r="G26" s="14" t="str">
        <f t="shared" si="0"/>
        <v>150 30</v>
      </c>
      <c r="H26" s="6"/>
      <c r="I26" s="6"/>
      <c r="J26" s="6"/>
      <c r="K26" s="6"/>
      <c r="L26" s="6"/>
      <c r="M26" s="6"/>
    </row>
    <row r="27" spans="2:13" ht="15.75" customHeight="1" x14ac:dyDescent="0.2">
      <c r="B27" s="11" t="s">
        <v>103</v>
      </c>
      <c r="C27" s="11" t="s">
        <v>53</v>
      </c>
      <c r="D27" s="11">
        <v>50</v>
      </c>
      <c r="E27" s="11">
        <v>35</v>
      </c>
      <c r="F27" s="11" t="s">
        <v>55</v>
      </c>
      <c r="G27" s="14" t="str">
        <f t="shared" si="0"/>
        <v>50 35</v>
      </c>
      <c r="H27" s="6"/>
      <c r="I27" s="6"/>
      <c r="J27" s="6"/>
      <c r="K27" s="6"/>
      <c r="L27" s="6"/>
      <c r="M27" s="6"/>
    </row>
    <row r="28" spans="2:13" ht="15.75" customHeight="1" x14ac:dyDescent="0.2">
      <c r="B28" s="10" t="s">
        <v>111</v>
      </c>
      <c r="C28" s="10" t="s">
        <v>68</v>
      </c>
      <c r="D28" s="10">
        <v>800</v>
      </c>
      <c r="E28" s="10">
        <v>45</v>
      </c>
      <c r="F28" s="10" t="s">
        <v>26</v>
      </c>
      <c r="G28" s="14" t="str">
        <f t="shared" si="0"/>
        <v>800 45</v>
      </c>
    </row>
    <row r="29" spans="2:13" ht="15.75" customHeight="1" x14ac:dyDescent="0.2">
      <c r="B29" s="11" t="s">
        <v>112</v>
      </c>
      <c r="C29" s="11" t="s">
        <v>58</v>
      </c>
      <c r="D29" s="11"/>
      <c r="E29" s="11">
        <v>25</v>
      </c>
      <c r="F29" s="11" t="s">
        <v>29</v>
      </c>
      <c r="G29" s="14" t="str">
        <f t="shared" ref="G29:G37" si="1">CONCATENATE(D29," ",E29)</f>
        <v xml:space="preserve"> 25</v>
      </c>
    </row>
    <row r="30" spans="2:13" ht="15.75" customHeight="1" x14ac:dyDescent="0.2">
      <c r="B30" s="10" t="s">
        <v>113</v>
      </c>
      <c r="C30" s="10" t="s">
        <v>40</v>
      </c>
      <c r="D30" s="10">
        <v>400</v>
      </c>
      <c r="E30" s="10">
        <v>40</v>
      </c>
      <c r="F30" s="10" t="s">
        <v>32</v>
      </c>
      <c r="G30" s="14" t="str">
        <f t="shared" si="1"/>
        <v>400 40</v>
      </c>
    </row>
    <row r="31" spans="2:13" ht="15.75" customHeight="1" x14ac:dyDescent="0.2">
      <c r="B31" s="11" t="s">
        <v>101</v>
      </c>
      <c r="C31" s="11" t="s">
        <v>102</v>
      </c>
      <c r="D31" s="11">
        <v>250</v>
      </c>
      <c r="E31" s="11">
        <v>20</v>
      </c>
      <c r="F31" s="11" t="s">
        <v>92</v>
      </c>
      <c r="G31" s="14" t="str">
        <f t="shared" si="1"/>
        <v>250 20</v>
      </c>
    </row>
    <row r="32" spans="2:13" ht="15.75" customHeight="1" x14ac:dyDescent="0.2">
      <c r="B32" s="10" t="s">
        <v>114</v>
      </c>
      <c r="C32" s="10" t="s">
        <v>72</v>
      </c>
      <c r="D32" s="10">
        <v>60</v>
      </c>
      <c r="E32" s="10">
        <v>30</v>
      </c>
      <c r="F32" s="10" t="s">
        <v>29</v>
      </c>
      <c r="G32" s="14" t="str">
        <f t="shared" si="1"/>
        <v>60 30</v>
      </c>
    </row>
    <row r="33" spans="2:7" ht="15.75" customHeight="1" x14ac:dyDescent="0.2">
      <c r="B33" s="11" t="s">
        <v>115</v>
      </c>
      <c r="C33" s="11" t="s">
        <v>74</v>
      </c>
      <c r="D33" s="11">
        <v>40</v>
      </c>
      <c r="E33" s="11">
        <v>10</v>
      </c>
      <c r="F33" s="11" t="s">
        <v>32</v>
      </c>
      <c r="G33" s="14" t="str">
        <f t="shared" si="1"/>
        <v>40 10</v>
      </c>
    </row>
    <row r="34" spans="2:7" ht="15.75" customHeight="1" x14ac:dyDescent="0.2">
      <c r="B34" s="10" t="s">
        <v>116</v>
      </c>
      <c r="C34" s="10" t="s">
        <v>66</v>
      </c>
      <c r="D34" s="10">
        <v>130</v>
      </c>
      <c r="E34" s="10">
        <v>5</v>
      </c>
      <c r="F34" s="10" t="s">
        <v>26</v>
      </c>
      <c r="G34" s="14" t="str">
        <f t="shared" si="1"/>
        <v>130 5</v>
      </c>
    </row>
    <row r="35" spans="2:7" ht="15.75" customHeight="1" x14ac:dyDescent="0.2">
      <c r="B35" s="11" t="s">
        <v>117</v>
      </c>
      <c r="C35" s="11" t="s">
        <v>77</v>
      </c>
      <c r="D35" s="11">
        <v>50</v>
      </c>
      <c r="E35" s="11">
        <v>50</v>
      </c>
      <c r="F35" s="11" t="s">
        <v>29</v>
      </c>
      <c r="G35" s="14" t="str">
        <f t="shared" si="1"/>
        <v>50 50</v>
      </c>
    </row>
    <row r="36" spans="2:7" ht="15.75" customHeight="1" x14ac:dyDescent="0.2">
      <c r="B36" s="10" t="s">
        <v>97</v>
      </c>
      <c r="C36" s="10" t="s">
        <v>47</v>
      </c>
      <c r="D36" s="10">
        <v>950</v>
      </c>
      <c r="E36" s="10">
        <v>25</v>
      </c>
      <c r="F36" s="10" t="s">
        <v>26</v>
      </c>
      <c r="G36" s="14" t="str">
        <f t="shared" si="1"/>
        <v>950 25</v>
      </c>
    </row>
    <row r="37" spans="2:7" ht="15.75" customHeight="1" x14ac:dyDescent="0.2">
      <c r="B37" s="11" t="s">
        <v>118</v>
      </c>
      <c r="C37" s="11" t="s">
        <v>79</v>
      </c>
      <c r="D37" s="11">
        <v>100</v>
      </c>
      <c r="E37" s="11">
        <v>20</v>
      </c>
      <c r="F37" s="11" t="s">
        <v>55</v>
      </c>
      <c r="G37" s="14" t="str">
        <f t="shared" si="1"/>
        <v>100 20</v>
      </c>
    </row>
    <row r="38" spans="2:7" ht="15.75" customHeight="1" x14ac:dyDescent="0.2">
      <c r="B38" s="11"/>
      <c r="C38" s="13"/>
      <c r="D38" s="13"/>
      <c r="E38" s="13"/>
      <c r="F38" s="18"/>
      <c r="G38" s="14" t="str">
        <f>CONCATENATE(D38," ",E38)</f>
        <v xml:space="preserve"> </v>
      </c>
    </row>
    <row r="39" spans="2:7" ht="15.75" customHeight="1" x14ac:dyDescent="0.2">
      <c r="B39" s="11"/>
      <c r="C39" s="13"/>
      <c r="D39" s="13"/>
      <c r="E39" s="13"/>
      <c r="F39" s="18"/>
      <c r="G39" s="14" t="str">
        <f>CONCATENATE(D39," ",E39)</f>
        <v xml:space="preserve"> </v>
      </c>
    </row>
    <row r="40" spans="2:7" ht="15.75" customHeight="1" x14ac:dyDescent="0.2"/>
    <row r="41" spans="2:7" ht="15.75" customHeight="1" x14ac:dyDescent="0.2"/>
    <row r="42" spans="2:7" ht="15.75" customHeight="1" x14ac:dyDescent="0.2"/>
    <row r="43" spans="2:7" ht="15.75" customHeight="1" x14ac:dyDescent="0.2"/>
    <row r="44" spans="2:7" ht="15.75" customHeight="1" x14ac:dyDescent="0.2"/>
    <row r="45" spans="2:7" ht="15.75" customHeight="1" x14ac:dyDescent="0.2"/>
    <row r="46" spans="2:7" ht="15.75" customHeight="1" x14ac:dyDescent="0.2"/>
    <row r="47" spans="2:7" ht="15.75" customHeight="1" x14ac:dyDescent="0.2"/>
    <row r="48" spans="2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zoomScale="70" zoomScaleNormal="70" workbookViewId="0">
      <selection activeCell="C54" sqref="C54"/>
    </sheetView>
  </sheetViews>
  <sheetFormatPr defaultRowHeight="12.75" x14ac:dyDescent="0.2"/>
  <cols>
    <col min="1" max="1" width="17.85546875" customWidth="1"/>
    <col min="2" max="2" width="20.5703125" customWidth="1"/>
    <col min="3" max="3" width="15.7109375" customWidth="1"/>
    <col min="4" max="4" width="14.7109375" customWidth="1"/>
    <col min="5" max="5" width="21.5703125" customWidth="1"/>
    <col min="6" max="6" width="20.5703125" customWidth="1"/>
    <col min="7" max="7" width="20" customWidth="1"/>
    <col min="8" max="8" width="26.85546875" customWidth="1"/>
    <col min="9" max="9" width="13.5703125" customWidth="1"/>
    <col min="10" max="10" width="13.140625" customWidth="1"/>
    <col min="11" max="11" width="14.28515625" customWidth="1"/>
    <col min="12" max="12" width="14.42578125" customWidth="1"/>
    <col min="13" max="13" width="22.28515625" customWidth="1"/>
  </cols>
  <sheetData>
    <row r="1" spans="1:13" x14ac:dyDescent="0.2">
      <c r="H1" s="6"/>
      <c r="I1" s="6"/>
    </row>
    <row r="2" spans="1:13" x14ac:dyDescent="0.2">
      <c r="A2" s="9" t="s">
        <v>19</v>
      </c>
      <c r="B2" s="9" t="s">
        <v>120</v>
      </c>
      <c r="C2" s="9" t="s">
        <v>121</v>
      </c>
      <c r="D2" s="15" t="s">
        <v>122</v>
      </c>
      <c r="E2" s="27" t="s">
        <v>123</v>
      </c>
      <c r="F2" s="9" t="s">
        <v>20</v>
      </c>
      <c r="G2" s="15" t="s">
        <v>21</v>
      </c>
      <c r="H2" s="9" t="s">
        <v>22</v>
      </c>
      <c r="I2" s="9" t="s">
        <v>23</v>
      </c>
      <c r="J2" s="15" t="s">
        <v>24</v>
      </c>
      <c r="K2" s="9" t="s">
        <v>81</v>
      </c>
      <c r="L2" s="9" t="s">
        <v>82</v>
      </c>
      <c r="M2" s="9" t="s">
        <v>83</v>
      </c>
    </row>
    <row r="3" spans="1:13" x14ac:dyDescent="0.2">
      <c r="A3" s="19" t="s">
        <v>84</v>
      </c>
      <c r="B3" s="28" t="str">
        <f>LEFT(A3,2)</f>
        <v>28</v>
      </c>
      <c r="C3" s="28" t="str">
        <f t="shared" ref="C3:C38" si="0">MID(A3,4,4)</f>
        <v>JAN-</v>
      </c>
      <c r="D3" s="28" t="str">
        <f>RIGHT(A3,2)</f>
        <v>US</v>
      </c>
      <c r="E3" s="28" t="str">
        <f t="shared" ref="E3:E36" si="1">TEXT(A3,"DD-MM-YYYY")</f>
        <v>28-JAN-US</v>
      </c>
      <c r="F3" s="12" t="s">
        <v>47</v>
      </c>
      <c r="G3" s="12" t="s">
        <v>25</v>
      </c>
      <c r="H3" s="17">
        <v>1000</v>
      </c>
      <c r="I3" s="10">
        <v>30</v>
      </c>
      <c r="J3" s="12" t="s">
        <v>26</v>
      </c>
      <c r="K3" s="21">
        <f>IF(ISBLANK(H3),AVERAGE($H$3:$H$36),H3)</f>
        <v>1000</v>
      </c>
      <c r="L3" s="12" t="str">
        <f t="shared" ref="L3:L36" si="2">IF(ISBLANK(J3),"Unknown",J3)</f>
        <v>Electronics</v>
      </c>
      <c r="M3" s="12" t="str">
        <f t="shared" ref="M3:M37" si="3">CONCATENATE(F3," ",G3)</f>
        <v>Laptop Dell</v>
      </c>
    </row>
    <row r="4" spans="1:13" x14ac:dyDescent="0.2">
      <c r="A4" s="11" t="s">
        <v>86</v>
      </c>
      <c r="B4" s="28" t="str">
        <f t="shared" ref="B4:B36" si="4">LEFT(A4,2)</f>
        <v>15</v>
      </c>
      <c r="C4" s="20" t="str">
        <f t="shared" si="0"/>
        <v>FEB-</v>
      </c>
      <c r="D4" s="28" t="str">
        <f t="shared" ref="D4:D36" si="5">RIGHT(A4,2)</f>
        <v>US</v>
      </c>
      <c r="E4" s="28" t="str">
        <f t="shared" si="1"/>
        <v>15-FEB-US</v>
      </c>
      <c r="F4" s="13" t="s">
        <v>27</v>
      </c>
      <c r="G4" s="13" t="s">
        <v>28</v>
      </c>
      <c r="H4" s="18">
        <v>80</v>
      </c>
      <c r="I4" s="11">
        <v>15</v>
      </c>
      <c r="J4" s="13" t="s">
        <v>29</v>
      </c>
      <c r="K4" s="21">
        <f>IF(ISBLANK(H4),AVERAGE($H$3:$H$36),H4)</f>
        <v>80</v>
      </c>
      <c r="L4" s="12" t="str">
        <f t="shared" si="2"/>
        <v>Fashion</v>
      </c>
      <c r="M4" s="13" t="str">
        <f t="shared" si="3"/>
        <v>Sneakers Nike</v>
      </c>
    </row>
    <row r="5" spans="1:13" x14ac:dyDescent="0.2">
      <c r="A5" s="26" t="s">
        <v>87</v>
      </c>
      <c r="B5" s="28" t="str">
        <f t="shared" si="4"/>
        <v>03</v>
      </c>
      <c r="C5" s="28" t="str">
        <f t="shared" si="0"/>
        <v>MAR-</v>
      </c>
      <c r="D5" s="28" t="str">
        <f t="shared" si="5"/>
        <v>US</v>
      </c>
      <c r="E5" s="28" t="str">
        <f t="shared" si="1"/>
        <v>03-MAR-US</v>
      </c>
      <c r="F5" s="12" t="s">
        <v>30</v>
      </c>
      <c r="G5" s="12" t="s">
        <v>31</v>
      </c>
      <c r="H5" s="17">
        <v>130</v>
      </c>
      <c r="I5" s="10">
        <v>40</v>
      </c>
      <c r="J5" s="12" t="s">
        <v>32</v>
      </c>
      <c r="K5" s="21">
        <f>IF(ISBLANK(H5),AVERAGE($H$3:$H$36),H5)</f>
        <v>130</v>
      </c>
      <c r="L5" s="12" t="str">
        <f t="shared" si="2"/>
        <v>Kitchen</v>
      </c>
      <c r="M5" s="12" t="str">
        <f t="shared" si="3"/>
        <v>Coffee Maker Keurig</v>
      </c>
    </row>
    <row r="6" spans="1:13" x14ac:dyDescent="0.2">
      <c r="A6" s="11" t="s">
        <v>88</v>
      </c>
      <c r="B6" s="28" t="str">
        <f t="shared" si="4"/>
        <v>11</v>
      </c>
      <c r="C6" s="20" t="str">
        <f t="shared" si="0"/>
        <v>APR-</v>
      </c>
      <c r="D6" s="28" t="str">
        <f t="shared" si="5"/>
        <v>US</v>
      </c>
      <c r="E6" s="28" t="str">
        <f t="shared" si="1"/>
        <v>11-APR-US</v>
      </c>
      <c r="F6" s="13" t="s">
        <v>68</v>
      </c>
      <c r="G6" s="13" t="s">
        <v>33</v>
      </c>
      <c r="H6" s="18">
        <v>900</v>
      </c>
      <c r="I6" s="11">
        <v>25</v>
      </c>
      <c r="J6" s="13" t="s">
        <v>26</v>
      </c>
      <c r="K6" s="21">
        <f>IF(ISBLANK(H6),AVERAGE($H$3:$H$36),H6)</f>
        <v>900</v>
      </c>
      <c r="L6" s="12" t="str">
        <f t="shared" si="2"/>
        <v>Electronics</v>
      </c>
      <c r="M6" s="13" t="str">
        <f t="shared" si="3"/>
        <v>Smartphone Samsung</v>
      </c>
    </row>
    <row r="7" spans="1:13" x14ac:dyDescent="0.2">
      <c r="A7" s="10" t="s">
        <v>90</v>
      </c>
      <c r="B7" s="28" t="str">
        <f t="shared" si="4"/>
        <v>22</v>
      </c>
      <c r="C7" s="28" t="str">
        <f t="shared" si="0"/>
        <v>MAY-</v>
      </c>
      <c r="D7" s="28" t="str">
        <f t="shared" si="5"/>
        <v>US</v>
      </c>
      <c r="E7" s="28" t="str">
        <f t="shared" si="1"/>
        <v>22-MAY-US</v>
      </c>
      <c r="F7" s="12" t="s">
        <v>34</v>
      </c>
      <c r="G7" s="12" t="s">
        <v>35</v>
      </c>
      <c r="H7" s="17">
        <v>70</v>
      </c>
      <c r="I7" s="10">
        <v>20</v>
      </c>
      <c r="J7" s="12"/>
      <c r="K7" s="21">
        <f>IF(ISBLANK(H7),AVERAGE($H$3:$H$36),H7)</f>
        <v>70</v>
      </c>
      <c r="L7" s="12" t="str">
        <f t="shared" si="2"/>
        <v>Unknown</v>
      </c>
      <c r="M7" s="12" t="str">
        <f t="shared" si="3"/>
        <v>Backpack North Face</v>
      </c>
    </row>
    <row r="8" spans="1:13" x14ac:dyDescent="0.2">
      <c r="A8" s="11" t="s">
        <v>91</v>
      </c>
      <c r="B8" s="28" t="str">
        <f t="shared" si="4"/>
        <v>07</v>
      </c>
      <c r="C8" s="20" t="str">
        <f t="shared" si="0"/>
        <v>JUN-</v>
      </c>
      <c r="D8" s="28" t="str">
        <f t="shared" si="5"/>
        <v>UK</v>
      </c>
      <c r="E8" s="28" t="str">
        <f t="shared" si="1"/>
        <v>07-JUN-UK</v>
      </c>
      <c r="F8" s="13" t="s">
        <v>36</v>
      </c>
      <c r="G8" s="13" t="s">
        <v>37</v>
      </c>
      <c r="H8" s="18"/>
      <c r="I8" s="11">
        <v>45</v>
      </c>
      <c r="J8" s="13" t="s">
        <v>26</v>
      </c>
      <c r="K8" s="21">
        <f>IF(ISBLANK(H8),AVERAGE($H$3:$H$36),H8)</f>
        <v>309.35483870967744</v>
      </c>
      <c r="L8" s="12" t="str">
        <f t="shared" si="2"/>
        <v>Electronics</v>
      </c>
      <c r="M8" s="13" t="str">
        <f t="shared" si="3"/>
        <v>Headphones Sony</v>
      </c>
    </row>
    <row r="9" spans="1:13" x14ac:dyDescent="0.2">
      <c r="A9" s="10" t="s">
        <v>93</v>
      </c>
      <c r="B9" s="28" t="str">
        <f t="shared" si="4"/>
        <v>19</v>
      </c>
      <c r="C9" s="28" t="str">
        <f t="shared" si="0"/>
        <v>JUL-</v>
      </c>
      <c r="D9" s="28" t="str">
        <f t="shared" si="5"/>
        <v>UK</v>
      </c>
      <c r="E9" s="28" t="str">
        <f t="shared" si="1"/>
        <v>19-JUL-UK</v>
      </c>
      <c r="F9" s="12" t="s">
        <v>38</v>
      </c>
      <c r="G9" s="12" t="s">
        <v>39</v>
      </c>
      <c r="H9" s="17">
        <v>30</v>
      </c>
      <c r="I9" s="10">
        <v>5</v>
      </c>
      <c r="J9" s="12" t="s">
        <v>29</v>
      </c>
      <c r="K9" s="21">
        <f>IF(ISBLANK(H9),AVERAGE($H$3:$H$36),H9)</f>
        <v>30</v>
      </c>
      <c r="L9" s="12" t="str">
        <f t="shared" si="2"/>
        <v>Fashion</v>
      </c>
      <c r="M9" s="12" t="str">
        <f t="shared" si="3"/>
        <v>T-shirt Adidas</v>
      </c>
    </row>
    <row r="10" spans="1:13" x14ac:dyDescent="0.2">
      <c r="A10" s="11" t="s">
        <v>94</v>
      </c>
      <c r="B10" s="28" t="str">
        <f t="shared" si="4"/>
        <v>23</v>
      </c>
      <c r="C10" s="20" t="str">
        <f t="shared" si="0"/>
        <v>AUG-</v>
      </c>
      <c r="D10" s="28" t="str">
        <f t="shared" si="5"/>
        <v>UK</v>
      </c>
      <c r="E10" s="28" t="str">
        <f t="shared" si="1"/>
        <v>23-AUG-UK</v>
      </c>
      <c r="F10" s="13" t="s">
        <v>40</v>
      </c>
      <c r="G10" s="13" t="s">
        <v>41</v>
      </c>
      <c r="H10" s="18">
        <v>90</v>
      </c>
      <c r="I10" s="11">
        <v>35</v>
      </c>
      <c r="J10" s="13" t="s">
        <v>32</v>
      </c>
      <c r="K10" s="21">
        <f>IF(ISBLANK(H10),AVERAGE($H$3:$H$36),H10)</f>
        <v>90</v>
      </c>
      <c r="L10" s="12" t="str">
        <f t="shared" si="2"/>
        <v>Kitchen</v>
      </c>
      <c r="M10" s="13" t="str">
        <f t="shared" si="3"/>
        <v>Blender Ninja</v>
      </c>
    </row>
    <row r="11" spans="1:13" x14ac:dyDescent="0.2">
      <c r="A11" s="10" t="s">
        <v>95</v>
      </c>
      <c r="B11" s="28" t="str">
        <f t="shared" si="4"/>
        <v>05</v>
      </c>
      <c r="C11" s="28" t="str">
        <f t="shared" si="0"/>
        <v>SEP-</v>
      </c>
      <c r="D11" s="28" t="str">
        <f t="shared" si="5"/>
        <v>UK</v>
      </c>
      <c r="E11" s="28" t="str">
        <f t="shared" si="1"/>
        <v>05-SEP-UK</v>
      </c>
      <c r="F11" s="12" t="s">
        <v>42</v>
      </c>
      <c r="G11" s="12" t="s">
        <v>43</v>
      </c>
      <c r="H11" s="17">
        <v>500</v>
      </c>
      <c r="I11" s="10">
        <v>50</v>
      </c>
      <c r="J11" s="12" t="s">
        <v>26</v>
      </c>
      <c r="K11" s="21">
        <f>IF(ISBLANK(H11),AVERAGE($H$3:$H$36),H11)</f>
        <v>500</v>
      </c>
      <c r="L11" s="12" t="str">
        <f t="shared" si="2"/>
        <v>Electronics</v>
      </c>
      <c r="M11" s="12" t="str">
        <f t="shared" si="3"/>
        <v>Tablet Apple</v>
      </c>
    </row>
    <row r="12" spans="1:13" x14ac:dyDescent="0.2">
      <c r="A12" s="11" t="s">
        <v>96</v>
      </c>
      <c r="B12" s="28" t="str">
        <f t="shared" si="4"/>
        <v>14</v>
      </c>
      <c r="C12" s="20" t="str">
        <f t="shared" si="0"/>
        <v>OCT-</v>
      </c>
      <c r="D12" s="28" t="str">
        <f t="shared" si="5"/>
        <v>UK</v>
      </c>
      <c r="E12" s="28" t="str">
        <f t="shared" si="1"/>
        <v>14-OCT-UK</v>
      </c>
      <c r="F12" s="13" t="s">
        <v>44</v>
      </c>
      <c r="G12" s="13" t="s">
        <v>45</v>
      </c>
      <c r="H12" s="18">
        <v>130</v>
      </c>
      <c r="I12" s="11">
        <v>10</v>
      </c>
      <c r="J12" s="13" t="s">
        <v>46</v>
      </c>
      <c r="K12" s="21">
        <f>IF(ISBLANK(H12),AVERAGE($H$3:$H$36),H12)</f>
        <v>130</v>
      </c>
      <c r="L12" s="12" t="str">
        <f t="shared" si="2"/>
        <v>Outdoor</v>
      </c>
      <c r="M12" s="13" t="str">
        <f t="shared" si="3"/>
        <v>Hiking Boots Timberland</v>
      </c>
    </row>
    <row r="13" spans="1:13" x14ac:dyDescent="0.2">
      <c r="A13" s="10" t="s">
        <v>97</v>
      </c>
      <c r="B13" s="28" t="str">
        <f t="shared" si="4"/>
        <v>17</v>
      </c>
      <c r="C13" s="28" t="str">
        <f t="shared" si="0"/>
        <v>JUN-</v>
      </c>
      <c r="D13" s="28" t="str">
        <f t="shared" si="5"/>
        <v>IN</v>
      </c>
      <c r="E13" s="28" t="str">
        <f t="shared" si="1"/>
        <v>17-JUN-IN</v>
      </c>
      <c r="F13" s="12" t="s">
        <v>47</v>
      </c>
      <c r="G13" s="12" t="s">
        <v>48</v>
      </c>
      <c r="H13" s="17">
        <v>950</v>
      </c>
      <c r="I13" s="10">
        <v>25</v>
      </c>
      <c r="J13" s="12" t="s">
        <v>26</v>
      </c>
      <c r="K13" s="21">
        <f>IF(ISBLANK(H13),AVERAGE($H$3:$H$36),H13)</f>
        <v>950</v>
      </c>
      <c r="L13" s="12" t="str">
        <f t="shared" si="2"/>
        <v>Electronics</v>
      </c>
      <c r="M13" s="12" t="str">
        <f t="shared" si="3"/>
        <v>Laptop HP</v>
      </c>
    </row>
    <row r="14" spans="1:13" x14ac:dyDescent="0.2">
      <c r="A14" s="11" t="s">
        <v>98</v>
      </c>
      <c r="B14" s="28" t="str">
        <f t="shared" si="4"/>
        <v>25</v>
      </c>
      <c r="C14" s="20" t="str">
        <f t="shared" si="0"/>
        <v>NOV-</v>
      </c>
      <c r="D14" s="28" t="str">
        <f t="shared" si="5"/>
        <v>AU</v>
      </c>
      <c r="E14" s="28" t="str">
        <f t="shared" si="1"/>
        <v>25-NOV-AU</v>
      </c>
      <c r="F14" s="13" t="s">
        <v>27</v>
      </c>
      <c r="G14" s="13" t="s">
        <v>39</v>
      </c>
      <c r="H14" s="18">
        <v>90</v>
      </c>
      <c r="I14" s="11">
        <v>40</v>
      </c>
      <c r="J14" s="13"/>
      <c r="K14" s="21">
        <f>IF(ISBLANK(H14),AVERAGE($H$3:$H$36),H14)</f>
        <v>90</v>
      </c>
      <c r="L14" s="12" t="str">
        <f t="shared" si="2"/>
        <v>Unknown</v>
      </c>
      <c r="M14" s="13" t="str">
        <f t="shared" si="3"/>
        <v>Sneakers Adidas</v>
      </c>
    </row>
    <row r="15" spans="1:13" x14ac:dyDescent="0.2">
      <c r="A15" s="10" t="s">
        <v>99</v>
      </c>
      <c r="B15" s="28" t="str">
        <f t="shared" si="4"/>
        <v>08</v>
      </c>
      <c r="C15" s="28" t="str">
        <f t="shared" si="0"/>
        <v>DEC-</v>
      </c>
      <c r="D15" s="28" t="str">
        <f t="shared" si="5"/>
        <v>DE</v>
      </c>
      <c r="E15" s="28" t="str">
        <f t="shared" si="1"/>
        <v>08-DEC-DE</v>
      </c>
      <c r="F15" s="12" t="s">
        <v>30</v>
      </c>
      <c r="G15" s="12" t="s">
        <v>49</v>
      </c>
      <c r="H15" s="17">
        <v>120</v>
      </c>
      <c r="I15" s="10">
        <v>35</v>
      </c>
      <c r="J15" s="12"/>
      <c r="K15" s="21">
        <f>IF(ISBLANK(H15),AVERAGE($H$3:$H$36),H15)</f>
        <v>120</v>
      </c>
      <c r="L15" s="12" t="str">
        <f t="shared" si="2"/>
        <v>Unknown</v>
      </c>
      <c r="M15" s="12" t="str">
        <f t="shared" si="3"/>
        <v>Coffee Maker Nespresso</v>
      </c>
    </row>
    <row r="16" spans="1:13" x14ac:dyDescent="0.2">
      <c r="A16" s="11" t="s">
        <v>100</v>
      </c>
      <c r="B16" s="28" t="str">
        <f t="shared" si="4"/>
        <v>18</v>
      </c>
      <c r="C16" s="20" t="str">
        <f t="shared" si="0"/>
        <v>FEB-</v>
      </c>
      <c r="D16" s="28" t="str">
        <f t="shared" si="5"/>
        <v>CA</v>
      </c>
      <c r="E16" s="28" t="str">
        <f t="shared" si="1"/>
        <v>18-FEB-CA</v>
      </c>
      <c r="F16" s="13" t="s">
        <v>50</v>
      </c>
      <c r="G16" s="13" t="s">
        <v>51</v>
      </c>
      <c r="H16" s="18">
        <v>150</v>
      </c>
      <c r="I16" s="11">
        <v>15</v>
      </c>
      <c r="J16" s="13" t="s">
        <v>26</v>
      </c>
      <c r="K16" s="21">
        <f>IF(ISBLANK(H16),AVERAGE($H$3:$H$36),H16)</f>
        <v>150</v>
      </c>
      <c r="L16" s="12" t="str">
        <f t="shared" si="2"/>
        <v>Electronics</v>
      </c>
      <c r="M16" s="13" t="str">
        <f t="shared" si="3"/>
        <v>Smartwatch Fitbit</v>
      </c>
    </row>
    <row r="17" spans="1:13" x14ac:dyDescent="0.2">
      <c r="A17" s="10" t="s">
        <v>101</v>
      </c>
      <c r="B17" s="28" t="str">
        <f t="shared" si="4"/>
        <v>16</v>
      </c>
      <c r="C17" s="28" t="str">
        <f t="shared" si="0"/>
        <v>APR-</v>
      </c>
      <c r="D17" s="28" t="str">
        <f t="shared" si="5"/>
        <v>ES</v>
      </c>
      <c r="E17" s="28" t="str">
        <f t="shared" si="1"/>
        <v>16-APR-ES</v>
      </c>
      <c r="F17" s="12" t="s">
        <v>36</v>
      </c>
      <c r="G17" s="12" t="s">
        <v>52</v>
      </c>
      <c r="H17" s="17">
        <v>250</v>
      </c>
      <c r="I17" s="10">
        <v>20</v>
      </c>
      <c r="J17" s="12" t="s">
        <v>26</v>
      </c>
      <c r="K17" s="21">
        <f>IF(ISBLANK(H17),AVERAGE($H$3:$H$36),H17)</f>
        <v>250</v>
      </c>
      <c r="L17" s="12" t="str">
        <f t="shared" si="2"/>
        <v>Electronics</v>
      </c>
      <c r="M17" s="12" t="str">
        <f t="shared" si="3"/>
        <v>Headphones Bose</v>
      </c>
    </row>
    <row r="18" spans="1:13" x14ac:dyDescent="0.2">
      <c r="A18" s="11" t="s">
        <v>103</v>
      </c>
      <c r="B18" s="28" t="str">
        <f t="shared" si="4"/>
        <v>21</v>
      </c>
      <c r="C18" s="20" t="str">
        <f t="shared" si="0"/>
        <v>AUG-</v>
      </c>
      <c r="D18" s="28" t="str">
        <f t="shared" si="5"/>
        <v>CA</v>
      </c>
      <c r="E18" s="28" t="str">
        <f t="shared" si="1"/>
        <v>21-AUG-CA</v>
      </c>
      <c r="F18" s="13" t="s">
        <v>53</v>
      </c>
      <c r="G18" s="13" t="s">
        <v>54</v>
      </c>
      <c r="H18" s="18">
        <v>50</v>
      </c>
      <c r="I18" s="11">
        <v>35</v>
      </c>
      <c r="J18" s="13" t="s">
        <v>55</v>
      </c>
      <c r="K18" s="21">
        <f>IF(ISBLANK(H18),AVERAGE($H$3:$H$36),H18)</f>
        <v>50</v>
      </c>
      <c r="L18" s="12" t="str">
        <f t="shared" si="2"/>
        <v>Accessories</v>
      </c>
      <c r="M18" s="13" t="str">
        <f t="shared" si="3"/>
        <v>Laptop Bag Samsonite</v>
      </c>
    </row>
    <row r="19" spans="1:13" x14ac:dyDescent="0.2">
      <c r="A19" s="10" t="s">
        <v>104</v>
      </c>
      <c r="B19" s="28" t="str">
        <f t="shared" si="4"/>
        <v>20</v>
      </c>
      <c r="C19" s="28" t="str">
        <f t="shared" si="0"/>
        <v>AUG-</v>
      </c>
      <c r="D19" s="28" t="str">
        <f t="shared" si="5"/>
        <v>CN</v>
      </c>
      <c r="E19" s="28" t="str">
        <f t="shared" si="1"/>
        <v>20-AUG-CN</v>
      </c>
      <c r="F19" s="12" t="s">
        <v>50</v>
      </c>
      <c r="G19" s="12" t="s">
        <v>56</v>
      </c>
      <c r="H19" s="17">
        <v>160</v>
      </c>
      <c r="I19" s="10">
        <v>15</v>
      </c>
      <c r="J19" s="12" t="s">
        <v>26</v>
      </c>
      <c r="K19" s="21">
        <f>IF(ISBLANK(H19),AVERAGE($H$3:$H$36),H19)</f>
        <v>160</v>
      </c>
      <c r="L19" s="12" t="str">
        <f t="shared" si="2"/>
        <v>Electronics</v>
      </c>
      <c r="M19" s="12" t="str">
        <f t="shared" si="3"/>
        <v>Smartwatch Huawei</v>
      </c>
    </row>
    <row r="20" spans="1:13" x14ac:dyDescent="0.2">
      <c r="A20" s="11" t="s">
        <v>105</v>
      </c>
      <c r="B20" s="28" t="str">
        <f t="shared" si="4"/>
        <v>27</v>
      </c>
      <c r="C20" s="20" t="str">
        <f t="shared" si="0"/>
        <v>JAN-</v>
      </c>
      <c r="D20" s="28" t="str">
        <f t="shared" si="5"/>
        <v>IT</v>
      </c>
      <c r="E20" s="28" t="str">
        <f t="shared" si="1"/>
        <v>27-JAN-IT</v>
      </c>
      <c r="F20" s="13" t="s">
        <v>47</v>
      </c>
      <c r="G20" s="13" t="s">
        <v>57</v>
      </c>
      <c r="H20" s="18">
        <v>980</v>
      </c>
      <c r="I20" s="11">
        <v>10</v>
      </c>
      <c r="J20" s="13" t="s">
        <v>26</v>
      </c>
      <c r="K20" s="21">
        <f>IF(ISBLANK(H20),AVERAGE($H$3:$H$36),H20)</f>
        <v>980</v>
      </c>
      <c r="L20" s="12" t="str">
        <f t="shared" si="2"/>
        <v>Electronics</v>
      </c>
      <c r="M20" s="13" t="str">
        <f t="shared" si="3"/>
        <v>Laptop Asus</v>
      </c>
    </row>
    <row r="21" spans="1:13" x14ac:dyDescent="0.2">
      <c r="A21" s="10" t="s">
        <v>106</v>
      </c>
      <c r="B21" s="28" t="str">
        <f t="shared" si="4"/>
        <v>01</v>
      </c>
      <c r="C21" s="28" t="str">
        <f t="shared" si="0"/>
        <v>MAR-</v>
      </c>
      <c r="D21" s="28" t="str">
        <f t="shared" si="5"/>
        <v>UK</v>
      </c>
      <c r="E21" s="28" t="str">
        <f t="shared" si="1"/>
        <v>01-MAR-UK</v>
      </c>
      <c r="F21" s="12" t="s">
        <v>58</v>
      </c>
      <c r="G21" s="12" t="s">
        <v>59</v>
      </c>
      <c r="H21" s="17">
        <v>150</v>
      </c>
      <c r="I21" s="10">
        <v>15</v>
      </c>
      <c r="J21" s="12" t="s">
        <v>29</v>
      </c>
      <c r="K21" s="21">
        <f>IF(ISBLANK(H21),AVERAGE($H$3:$H$36),H21)</f>
        <v>150</v>
      </c>
      <c r="L21" s="12" t="str">
        <f t="shared" si="2"/>
        <v>Fashion</v>
      </c>
      <c r="M21" s="12" t="str">
        <f t="shared" si="3"/>
        <v>Sunglasses Oakley</v>
      </c>
    </row>
    <row r="22" spans="1:13" x14ac:dyDescent="0.2">
      <c r="A22" s="11" t="s">
        <v>107</v>
      </c>
      <c r="B22" s="28" t="str">
        <f t="shared" si="4"/>
        <v>14</v>
      </c>
      <c r="C22" s="20" t="str">
        <f t="shared" si="0"/>
        <v>AUG-</v>
      </c>
      <c r="D22" s="28" t="str">
        <f t="shared" si="5"/>
        <v>US</v>
      </c>
      <c r="E22" s="28" t="str">
        <f t="shared" si="1"/>
        <v>14-AUG-US</v>
      </c>
      <c r="F22" s="13" t="s">
        <v>60</v>
      </c>
      <c r="G22" s="13" t="s">
        <v>61</v>
      </c>
      <c r="H22" s="18"/>
      <c r="I22" s="11">
        <v>10</v>
      </c>
      <c r="J22" s="13" t="s">
        <v>46</v>
      </c>
      <c r="K22" s="21">
        <f>IF(ISBLANK(H22),AVERAGE($H$3:$H$36),H22)</f>
        <v>309.35483870967744</v>
      </c>
      <c r="L22" s="12" t="str">
        <f t="shared" si="2"/>
        <v>Outdoor</v>
      </c>
      <c r="M22" s="13" t="str">
        <f t="shared" si="3"/>
        <v>Camping Tent Coleman</v>
      </c>
    </row>
    <row r="23" spans="1:13" x14ac:dyDescent="0.2">
      <c r="A23" s="10" t="s">
        <v>108</v>
      </c>
      <c r="B23" s="28" t="str">
        <f t="shared" si="4"/>
        <v>14</v>
      </c>
      <c r="C23" s="28" t="str">
        <f t="shared" si="0"/>
        <v>MAY-</v>
      </c>
      <c r="D23" s="28" t="str">
        <f t="shared" si="5"/>
        <v>RU</v>
      </c>
      <c r="E23" s="28" t="str">
        <f t="shared" si="1"/>
        <v>14-MAY-RU</v>
      </c>
      <c r="F23" s="12" t="s">
        <v>62</v>
      </c>
      <c r="G23" s="12" t="s">
        <v>63</v>
      </c>
      <c r="H23" s="17">
        <v>700</v>
      </c>
      <c r="I23" s="10">
        <v>50</v>
      </c>
      <c r="J23" s="12" t="s">
        <v>26</v>
      </c>
      <c r="K23" s="21">
        <f>IF(ISBLANK(H23),AVERAGE($H$3:$H$36),H23)</f>
        <v>700</v>
      </c>
      <c r="L23" s="12" t="str">
        <f t="shared" si="2"/>
        <v>Electronics</v>
      </c>
      <c r="M23" s="12" t="str">
        <f t="shared" si="3"/>
        <v>Camera Nikon</v>
      </c>
    </row>
    <row r="24" spans="1:13" x14ac:dyDescent="0.2">
      <c r="A24" s="11" t="s">
        <v>109</v>
      </c>
      <c r="B24" s="28" t="str">
        <f t="shared" si="4"/>
        <v>09</v>
      </c>
      <c r="C24" s="20" t="str">
        <f t="shared" si="0"/>
        <v>JAN-</v>
      </c>
      <c r="D24" s="28" t="str">
        <f t="shared" si="5"/>
        <v>CA</v>
      </c>
      <c r="E24" s="28" t="str">
        <f t="shared" si="1"/>
        <v>09-JAN-CA</v>
      </c>
      <c r="F24" s="13" t="s">
        <v>64</v>
      </c>
      <c r="G24" s="13" t="s">
        <v>65</v>
      </c>
      <c r="H24" s="18">
        <v>80</v>
      </c>
      <c r="I24" s="11">
        <v>20</v>
      </c>
      <c r="J24" s="13" t="s">
        <v>32</v>
      </c>
      <c r="K24" s="21">
        <f>IF(ISBLANK(H24),AVERAGE($H$3:$H$36),H24)</f>
        <v>80</v>
      </c>
      <c r="L24" s="12" t="str">
        <f t="shared" si="2"/>
        <v>Kitchen</v>
      </c>
      <c r="M24" s="13" t="str">
        <f t="shared" si="3"/>
        <v>Microwave Panasonic</v>
      </c>
    </row>
    <row r="25" spans="1:13" x14ac:dyDescent="0.2">
      <c r="A25" s="10" t="s">
        <v>110</v>
      </c>
      <c r="B25" s="28" t="str">
        <f t="shared" si="4"/>
        <v>19</v>
      </c>
      <c r="C25" s="28" t="str">
        <f t="shared" si="0"/>
        <v>JUL-</v>
      </c>
      <c r="D25" s="28" t="str">
        <f t="shared" si="5"/>
        <v>BR</v>
      </c>
      <c r="E25" s="28" t="str">
        <f t="shared" si="1"/>
        <v>19-JUL-BR</v>
      </c>
      <c r="F25" s="12" t="s">
        <v>66</v>
      </c>
      <c r="G25" s="12" t="s">
        <v>67</v>
      </c>
      <c r="H25" s="17">
        <v>150</v>
      </c>
      <c r="I25" s="10">
        <v>30</v>
      </c>
      <c r="J25" s="12"/>
      <c r="K25" s="21">
        <f>IF(ISBLANK(H25),AVERAGE($H$3:$H$36),H25)</f>
        <v>150</v>
      </c>
      <c r="L25" s="12" t="str">
        <f t="shared" si="2"/>
        <v>Unknown</v>
      </c>
      <c r="M25" s="12" t="str">
        <f t="shared" si="3"/>
        <v>Fitness Tracker Xiaomi</v>
      </c>
    </row>
    <row r="26" spans="1:13" x14ac:dyDescent="0.2">
      <c r="A26" s="11" t="s">
        <v>103</v>
      </c>
      <c r="B26" s="28" t="str">
        <f t="shared" si="4"/>
        <v>21</v>
      </c>
      <c r="C26" s="20" t="str">
        <f t="shared" si="0"/>
        <v>AUG-</v>
      </c>
      <c r="D26" s="28" t="str">
        <f t="shared" si="5"/>
        <v>CA</v>
      </c>
      <c r="E26" s="28" t="str">
        <f t="shared" si="1"/>
        <v>21-AUG-CA</v>
      </c>
      <c r="F26" s="13" t="s">
        <v>53</v>
      </c>
      <c r="G26" s="13" t="s">
        <v>54</v>
      </c>
      <c r="H26" s="18">
        <v>50</v>
      </c>
      <c r="I26" s="11">
        <v>35</v>
      </c>
      <c r="J26" s="13" t="s">
        <v>55</v>
      </c>
      <c r="K26" s="21">
        <f>IF(ISBLANK(H26),AVERAGE($H$3:$H$36),H26)</f>
        <v>50</v>
      </c>
      <c r="L26" s="12" t="str">
        <f t="shared" si="2"/>
        <v>Accessories</v>
      </c>
      <c r="M26" s="13" t="str">
        <f t="shared" si="3"/>
        <v>Laptop Bag Samsonite</v>
      </c>
    </row>
    <row r="27" spans="1:13" x14ac:dyDescent="0.2">
      <c r="A27" s="10" t="s">
        <v>111</v>
      </c>
      <c r="B27" s="28" t="str">
        <f t="shared" si="4"/>
        <v>29</v>
      </c>
      <c r="C27" s="28" t="str">
        <f t="shared" si="0"/>
        <v>SEP-</v>
      </c>
      <c r="D27" s="28" t="str">
        <f t="shared" si="5"/>
        <v>CA</v>
      </c>
      <c r="E27" s="28" t="str">
        <f t="shared" si="1"/>
        <v>29-SEP-CA</v>
      </c>
      <c r="F27" s="12" t="s">
        <v>68</v>
      </c>
      <c r="G27" s="12" t="s">
        <v>69</v>
      </c>
      <c r="H27" s="17">
        <v>800</v>
      </c>
      <c r="I27" s="10">
        <v>45</v>
      </c>
      <c r="J27" s="12" t="s">
        <v>26</v>
      </c>
      <c r="K27" s="21">
        <f>IF(ISBLANK(H27),AVERAGE($H$3:$H$36),H27)</f>
        <v>800</v>
      </c>
      <c r="L27" s="12" t="str">
        <f t="shared" si="2"/>
        <v>Electronics</v>
      </c>
      <c r="M27" s="12" t="str">
        <f t="shared" si="3"/>
        <v>Smartphone Google</v>
      </c>
    </row>
    <row r="28" spans="1:13" x14ac:dyDescent="0.2">
      <c r="A28" s="11" t="s">
        <v>112</v>
      </c>
      <c r="B28" s="28" t="str">
        <f t="shared" si="4"/>
        <v>03</v>
      </c>
      <c r="C28" s="20" t="str">
        <f t="shared" si="0"/>
        <v>JUN-</v>
      </c>
      <c r="D28" s="28" t="str">
        <f t="shared" si="5"/>
        <v>CA</v>
      </c>
      <c r="E28" s="28" t="str">
        <f t="shared" si="1"/>
        <v>03-JUN-CA</v>
      </c>
      <c r="F28" s="13" t="s">
        <v>58</v>
      </c>
      <c r="G28" s="13" t="s">
        <v>70</v>
      </c>
      <c r="H28" s="18"/>
      <c r="I28" s="11">
        <v>25</v>
      </c>
      <c r="J28" s="13" t="s">
        <v>29</v>
      </c>
      <c r="K28" s="21">
        <f>IF(ISBLANK(H28),AVERAGE($H$3:$H$36),H28)</f>
        <v>309.35483870967744</v>
      </c>
      <c r="L28" s="12" t="str">
        <f t="shared" si="2"/>
        <v>Fashion</v>
      </c>
      <c r="M28" s="13" t="str">
        <f t="shared" si="3"/>
        <v>Sunglasses Ray-Ban</v>
      </c>
    </row>
    <row r="29" spans="1:13" x14ac:dyDescent="0.2">
      <c r="A29" s="10" t="s">
        <v>113</v>
      </c>
      <c r="B29" s="28" t="str">
        <f t="shared" si="4"/>
        <v>11</v>
      </c>
      <c r="C29" s="28" t="str">
        <f t="shared" si="0"/>
        <v>JUL-</v>
      </c>
      <c r="D29" s="28" t="str">
        <f t="shared" si="5"/>
        <v>CA</v>
      </c>
      <c r="E29" s="28" t="str">
        <f t="shared" si="1"/>
        <v>11-JUL-CA</v>
      </c>
      <c r="F29" s="12" t="s">
        <v>40</v>
      </c>
      <c r="G29" s="12" t="s">
        <v>71</v>
      </c>
      <c r="H29" s="17">
        <v>400</v>
      </c>
      <c r="I29" s="10">
        <v>40</v>
      </c>
      <c r="J29" s="12" t="s">
        <v>32</v>
      </c>
      <c r="K29" s="21">
        <f>IF(ISBLANK(H29),AVERAGE($H$3:$H$36),H29)</f>
        <v>400</v>
      </c>
      <c r="L29" s="12" t="str">
        <f t="shared" si="2"/>
        <v>Kitchen</v>
      </c>
      <c r="M29" s="12" t="str">
        <f t="shared" si="3"/>
        <v>Blender Vitamix</v>
      </c>
    </row>
    <row r="30" spans="1:13" x14ac:dyDescent="0.2">
      <c r="A30" s="11" t="s">
        <v>101</v>
      </c>
      <c r="B30" s="28" t="str">
        <f t="shared" si="4"/>
        <v>16</v>
      </c>
      <c r="C30" s="20" t="str">
        <f t="shared" si="0"/>
        <v>APR-</v>
      </c>
      <c r="D30" s="28" t="str">
        <f t="shared" si="5"/>
        <v>ES</v>
      </c>
      <c r="E30" s="28" t="str">
        <f t="shared" si="1"/>
        <v>16-APR-ES</v>
      </c>
      <c r="F30" s="13" t="s">
        <v>36</v>
      </c>
      <c r="G30" s="13" t="s">
        <v>52</v>
      </c>
      <c r="H30" s="18">
        <v>250</v>
      </c>
      <c r="I30" s="11">
        <v>20</v>
      </c>
      <c r="J30" s="13" t="s">
        <v>26</v>
      </c>
      <c r="K30" s="21">
        <f>IF(ISBLANK(H30),AVERAGE($H$3:$H$36),H30)</f>
        <v>250</v>
      </c>
      <c r="L30" s="12" t="str">
        <f t="shared" si="2"/>
        <v>Electronics</v>
      </c>
      <c r="M30" s="13" t="str">
        <f t="shared" si="3"/>
        <v>Headphones Bose</v>
      </c>
    </row>
    <row r="31" spans="1:13" x14ac:dyDescent="0.2">
      <c r="A31" s="10" t="s">
        <v>114</v>
      </c>
      <c r="B31" s="28" t="str">
        <f t="shared" si="4"/>
        <v>07</v>
      </c>
      <c r="C31" s="28" t="str">
        <f t="shared" si="0"/>
        <v>MAR-</v>
      </c>
      <c r="D31" s="28" t="str">
        <f t="shared" si="5"/>
        <v>CA</v>
      </c>
      <c r="E31" s="28" t="str">
        <f t="shared" si="1"/>
        <v>07-MAR-CA</v>
      </c>
      <c r="F31" s="12" t="s">
        <v>72</v>
      </c>
      <c r="G31" s="12" t="s">
        <v>73</v>
      </c>
      <c r="H31" s="17">
        <v>60</v>
      </c>
      <c r="I31" s="10">
        <v>30</v>
      </c>
      <c r="J31" s="12" t="s">
        <v>29</v>
      </c>
      <c r="K31" s="21">
        <f>IF(ISBLANK(H31),AVERAGE($H$3:$H$36),H31)</f>
        <v>60</v>
      </c>
      <c r="L31" s="12" t="str">
        <f t="shared" si="2"/>
        <v>Fashion</v>
      </c>
      <c r="M31" s="12" t="str">
        <f t="shared" si="3"/>
        <v>Dress Zara</v>
      </c>
    </row>
    <row r="32" spans="1:13" x14ac:dyDescent="0.2">
      <c r="A32" s="11" t="s">
        <v>115</v>
      </c>
      <c r="B32" s="28" t="str">
        <f t="shared" si="4"/>
        <v>13</v>
      </c>
      <c r="C32" s="20" t="str">
        <f t="shared" si="0"/>
        <v>APR-</v>
      </c>
      <c r="D32" s="28" t="str">
        <f t="shared" si="5"/>
        <v>CA</v>
      </c>
      <c r="E32" s="28" t="str">
        <f t="shared" si="1"/>
        <v>13-APR-CA</v>
      </c>
      <c r="F32" s="13" t="s">
        <v>74</v>
      </c>
      <c r="G32" s="13" t="s">
        <v>75</v>
      </c>
      <c r="H32" s="18">
        <v>40</v>
      </c>
      <c r="I32" s="11">
        <v>10</v>
      </c>
      <c r="J32" s="13" t="s">
        <v>32</v>
      </c>
      <c r="K32" s="21">
        <f>IF(ISBLANK(H32),AVERAGE($H$3:$H$36),H32)</f>
        <v>40</v>
      </c>
      <c r="L32" s="12" t="str">
        <f t="shared" si="2"/>
        <v>Kitchen</v>
      </c>
      <c r="M32" s="13" t="str">
        <f t="shared" si="3"/>
        <v>Toaster Hamilton</v>
      </c>
    </row>
    <row r="33" spans="1:13" x14ac:dyDescent="0.2">
      <c r="A33" s="10" t="s">
        <v>116</v>
      </c>
      <c r="B33" s="28" t="str">
        <f t="shared" si="4"/>
        <v>24</v>
      </c>
      <c r="C33" s="28" t="str">
        <f t="shared" si="0"/>
        <v>MAY-</v>
      </c>
      <c r="D33" s="28" t="str">
        <f t="shared" si="5"/>
        <v>CA</v>
      </c>
      <c r="E33" s="28" t="str">
        <f t="shared" si="1"/>
        <v>24-MAY-CA</v>
      </c>
      <c r="F33" s="12" t="s">
        <v>66</v>
      </c>
      <c r="G33" s="12" t="s">
        <v>76</v>
      </c>
      <c r="H33" s="17">
        <v>130</v>
      </c>
      <c r="I33" s="10">
        <v>5</v>
      </c>
      <c r="J33" s="12" t="s">
        <v>26</v>
      </c>
      <c r="K33" s="21">
        <f>IF(ISBLANK(H33),AVERAGE($H$3:$H$36),H33)</f>
        <v>130</v>
      </c>
      <c r="L33" s="12" t="str">
        <f t="shared" si="2"/>
        <v>Electronics</v>
      </c>
      <c r="M33" s="12" t="str">
        <f t="shared" si="3"/>
        <v>Fitness Tracker Garmin</v>
      </c>
    </row>
    <row r="34" spans="1:13" x14ac:dyDescent="0.2">
      <c r="A34" s="11" t="s">
        <v>117</v>
      </c>
      <c r="B34" s="28" t="str">
        <f t="shared" si="4"/>
        <v>02</v>
      </c>
      <c r="C34" s="20" t="str">
        <f t="shared" si="0"/>
        <v>DEC-</v>
      </c>
      <c r="D34" s="28" t="str">
        <f t="shared" si="5"/>
        <v>CA</v>
      </c>
      <c r="E34" s="28" t="str">
        <f t="shared" si="1"/>
        <v>02-DEC-CA</v>
      </c>
      <c r="F34" s="13" t="s">
        <v>77</v>
      </c>
      <c r="G34" s="13" t="s">
        <v>78</v>
      </c>
      <c r="H34" s="18">
        <v>50</v>
      </c>
      <c r="I34" s="11">
        <v>50</v>
      </c>
      <c r="J34" s="13" t="s">
        <v>29</v>
      </c>
      <c r="K34" s="21">
        <f>IF(ISBLANK(H34),AVERAGE($H$3:$H$36),H34)</f>
        <v>50</v>
      </c>
      <c r="L34" s="12" t="str">
        <f t="shared" si="2"/>
        <v>Fashion</v>
      </c>
      <c r="M34" s="13" t="str">
        <f t="shared" si="3"/>
        <v>Jeans Levi's</v>
      </c>
    </row>
    <row r="35" spans="1:13" x14ac:dyDescent="0.2">
      <c r="A35" s="10" t="s">
        <v>97</v>
      </c>
      <c r="B35" s="28" t="str">
        <f t="shared" si="4"/>
        <v>17</v>
      </c>
      <c r="C35" s="28" t="str">
        <f t="shared" si="0"/>
        <v>JUN-</v>
      </c>
      <c r="D35" s="28" t="str">
        <f t="shared" si="5"/>
        <v>IN</v>
      </c>
      <c r="E35" s="28" t="str">
        <f t="shared" si="1"/>
        <v>17-JUN-IN</v>
      </c>
      <c r="F35" s="12" t="s">
        <v>47</v>
      </c>
      <c r="G35" s="12" t="s">
        <v>48</v>
      </c>
      <c r="H35" s="17">
        <v>950</v>
      </c>
      <c r="I35" s="10">
        <v>25</v>
      </c>
      <c r="J35" s="12" t="s">
        <v>26</v>
      </c>
      <c r="K35" s="21">
        <f>IF(ISBLANK(H35),AVERAGE($H$3:$H$36),H35)</f>
        <v>950</v>
      </c>
      <c r="L35" s="12" t="str">
        <f t="shared" si="2"/>
        <v>Electronics</v>
      </c>
      <c r="M35" s="12" t="str">
        <f t="shared" si="3"/>
        <v>Laptop HP</v>
      </c>
    </row>
    <row r="36" spans="1:13" x14ac:dyDescent="0.2">
      <c r="A36" s="11" t="s">
        <v>118</v>
      </c>
      <c r="B36" s="28" t="str">
        <f t="shared" si="4"/>
        <v>09</v>
      </c>
      <c r="C36" s="20" t="str">
        <f t="shared" si="0"/>
        <v>JUL-</v>
      </c>
      <c r="D36" s="28" t="str">
        <f t="shared" si="5"/>
        <v>FR</v>
      </c>
      <c r="E36" s="28" t="str">
        <f t="shared" si="1"/>
        <v>09-JUL-FR</v>
      </c>
      <c r="F36" s="13" t="s">
        <v>79</v>
      </c>
      <c r="G36" s="13" t="s">
        <v>80</v>
      </c>
      <c r="H36" s="18">
        <v>100</v>
      </c>
      <c r="I36" s="11">
        <v>20</v>
      </c>
      <c r="J36" s="13" t="s">
        <v>55</v>
      </c>
      <c r="K36" s="21">
        <f>IF(ISBLANK(H36),AVERAGE($H$3:$H$36),H36)</f>
        <v>100</v>
      </c>
      <c r="L36" s="12" t="str">
        <f t="shared" si="2"/>
        <v>Accessories</v>
      </c>
      <c r="M36" s="13" t="str">
        <f t="shared" si="3"/>
        <v>Watch Casio</v>
      </c>
    </row>
    <row r="37" spans="1:13" x14ac:dyDescent="0.2">
      <c r="A37" s="11"/>
      <c r="B37" s="25"/>
      <c r="C37" s="25" t="str">
        <f t="shared" si="0"/>
        <v/>
      </c>
      <c r="D37" s="25"/>
      <c r="E37" s="25"/>
      <c r="F37" s="13"/>
      <c r="G37" s="13"/>
      <c r="H37" s="22"/>
      <c r="I37" s="23"/>
      <c r="J37" s="13"/>
      <c r="K37" s="24"/>
      <c r="L37" s="14"/>
      <c r="M37" s="13" t="str">
        <f t="shared" si="3"/>
        <v xml:space="preserve"> </v>
      </c>
    </row>
    <row r="38" spans="1:13" x14ac:dyDescent="0.2">
      <c r="A38" s="11"/>
      <c r="B38" s="25" t="str">
        <f t="shared" ref="B38" si="6">LEFT(A37,2)</f>
        <v/>
      </c>
      <c r="C38" s="25" t="str">
        <f t="shared" si="0"/>
        <v/>
      </c>
      <c r="D38" s="25"/>
      <c r="E38" s="25"/>
      <c r="F38" s="13"/>
      <c r="G38" s="13"/>
      <c r="H38" s="22"/>
      <c r="I38" s="23"/>
      <c r="J38" s="13"/>
      <c r="K38" s="24"/>
      <c r="L38" s="14"/>
      <c r="M38" s="13" t="str">
        <f t="shared" ref="M38" si="7">CONCATENATE(F38," ",G38)</f>
        <v xml:space="preserve"> </v>
      </c>
    </row>
  </sheetData>
  <dataConsolidate/>
  <conditionalFormatting sqref="H2:H36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{BE27E408-52EA-4448-A44D-F9DCE4FDDDC0}</x14:id>
        </ext>
      </extLst>
    </cfRule>
    <cfRule type="cellIs" dxfId="7" priority="4" operator="greaterThan">
      <formula>515</formula>
    </cfRule>
  </conditionalFormatting>
  <conditionalFormatting sqref="L3:L36">
    <cfRule type="containsText" dxfId="6" priority="2" operator="containsText" text="Electronics">
      <formula>NOT(ISERROR(SEARCH("Electronics",L3)))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27E408-52EA-4448-A44D-F9DCE4FDDDC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H2:H36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SLOUTION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kumar</dc:creator>
  <cp:lastModifiedBy>sarath kumar</cp:lastModifiedBy>
  <dcterms:created xsi:type="dcterms:W3CDTF">2025-07-12T13:20:27Z</dcterms:created>
  <dcterms:modified xsi:type="dcterms:W3CDTF">2025-07-17T08:26:43Z</dcterms:modified>
</cp:coreProperties>
</file>